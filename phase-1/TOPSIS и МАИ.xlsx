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Концепции" sheetId="2" state="visible" r:id="rId2"/>
    <sheet xmlns:r="http://schemas.openxmlformats.org/officeDocument/2006/relationships" name="Оценки" sheetId="3" state="visible" r:id="rId3"/>
    <sheet xmlns:r="http://schemas.openxmlformats.org/officeDocument/2006/relationships" name="TOPSIS" sheetId="4" state="visible" r:id="rId4"/>
    <sheet xmlns:r="http://schemas.openxmlformats.org/officeDocument/2006/relationships" name="МАИ Эксперт 1" sheetId="5" state="visible" r:id="rId5"/>
    <sheet xmlns:r="http://schemas.openxmlformats.org/officeDocument/2006/relationships" name="МАИ Эксперт 2" sheetId="6" state="visible" r:id="rId6"/>
    <sheet xmlns:r="http://schemas.openxmlformats.org/officeDocument/2006/relationships" name="МАИ" sheetId="7" state="visible" r:id="rId7"/>
    <sheet xmlns:r="http://schemas.openxmlformats.org/officeDocument/2006/relationships" name="Итог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164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Фаза 1: выбор концепции проекта (нечёткий коллективный TOPSIS и чёткий коллективный МАИ)</t>
        </is>
      </c>
    </row>
    <row r="2"/>
    <row r="3">
      <c r="A3" t="inlineStr">
        <is>
          <t>Команда из двух экспертов: Савелий Хвостов, Екатерина Козлова. Концепций 4, критериев 5.</t>
        </is>
      </c>
    </row>
    <row r="4"/>
    <row r="5">
      <c r="A5" s="2" t="inlineStr">
        <is>
          <t>Что заполнять (жёлтые ячейки, синий шрифт). Каждый эксперт заполняет только свои блоки и не смотрит чужие до конца.</t>
        </is>
      </c>
    </row>
    <row r="6">
      <c r="A6" t="inlineStr">
        <is>
          <t>1. «Оценки»: оценка каждой концепции по каждому критерию тройкой (l ≤ m ≤ u) по шкале 1–10:</t>
        </is>
      </c>
    </row>
    <row r="7">
      <c r="A7" t="inlineStr">
        <is>
          <t xml:space="preserve">   l = наименьшее возможное, m = наиболее ожидаемое, u = наибольшее возможное. Шкала всегда «сколько этого свойства»:</t>
        </is>
      </c>
    </row>
    <row r="8">
      <c r="A8" t="inlineStr">
        <is>
          <t xml:space="preserve">   для max-критериев l пессимистичная, u оптимистичная; для min-критериев (трудоёмкость, риски) наоборот: u пессимистичная.</t>
        </is>
      </c>
    </row>
    <row r="9">
      <c r="A9" t="inlineStr">
        <is>
          <t xml:space="preserve">   для трудоёмкости 10 = очень трудоёмко, для рисков 10 = очень рискованно (метод сам учтёт, что это min-критерии).</t>
        </is>
      </c>
    </row>
    <row r="10">
      <c r="A10" t="inlineStr">
        <is>
          <t xml:space="preserve">   Строка w: важность критерия тройкой на шкале 0–1 (l ≤ m ≤ u).</t>
        </is>
      </c>
    </row>
    <row r="11">
      <c r="A11" t="inlineStr">
        <is>
          <t>2. «МАИ Эксперт 1» и «МАИ Эксперт 2»: верхний треугольник 6 матриц парных сравнений по шкале Саати:</t>
        </is>
      </c>
    </row>
    <row r="12">
      <c r="A12" t="inlineStr">
        <is>
          <t xml:space="preserve">   1 одинаково, 3 немного лучше, 5 лучше, 7 значительно лучше, 9 абсолютно лучше, 2/4/6/8 промежуточные;</t>
        </is>
      </c>
    </row>
    <row r="13">
      <c r="A13" t="inlineStr">
        <is>
          <t xml:space="preserve">   если строка хуже столбца, ставится дробь (=1/3, =1/5, …). В матрицах концепций «лучше» значит «лучше по этому критерию»:</t>
        </is>
      </c>
    </row>
    <row r="14">
      <c r="A14" t="inlineStr">
        <is>
          <t xml:space="preserve">   для трудоёмкости и рисков лучше та концепция, у которой их МЕНЬШЕ.</t>
        </is>
      </c>
    </row>
    <row r="15">
      <c r="A15" t="inlineStr">
        <is>
          <t xml:space="preserve">   Нижний треугольник, веса и согласованность считаются сами. Если ОС &gt; 0,10, пересмотреть свои суждения.</t>
        </is>
      </c>
    </row>
    <row r="16"/>
    <row r="17">
      <c r="A17" t="inlineStr">
        <is>
          <t>Всё остальное формулы. Итоги на листе «Итог».</t>
        </is>
      </c>
    </row>
    <row r="18"/>
    <row r="19">
      <c r="A19" s="2" t="inlineStr">
        <is>
          <t>Нечёткий коллективный TOPSIS</t>
        </is>
      </c>
    </row>
    <row r="20">
      <c r="A20" t="inlineStr">
        <is>
          <t>• Агрегирование экспертов: l = MIN(l_k), m = СРЗНАЧ(m_k), u = MAX(u_k); так же для весов.</t>
        </is>
      </c>
    </row>
    <row r="21">
      <c r="A21" t="inlineStr">
        <is>
          <t>• Нормализация: для max (l/u*, m/u*, u/u*), u* = max u по критерию; для min (l⁻/u, l⁻/m, l⁻/l), l⁻ = min l.</t>
        </is>
      </c>
    </row>
    <row r="22">
      <c r="A22" t="inlineStr">
        <is>
          <t>• Взвешенная матрица v = r ⊗ w (покомпонентно).</t>
        </is>
      </c>
    </row>
    <row r="23">
      <c r="A23" t="inlineStr">
        <is>
          <t>• A* = (max u, max u, max u), A⁻ = (min l, min l, min l) по каждому критерию.</t>
        </is>
      </c>
    </row>
    <row r="24">
      <c r="A24" t="inlineStr">
        <is>
          <t>• d(a,b) = √(((a1−b1)² + (a2−b2)² + (a3−b3)²)/3); D* и D⁻ суммируются по критериям; CC = D⁻/(D* + D⁻), лучшая с max CC.</t>
        </is>
      </c>
    </row>
    <row r="25"/>
    <row r="26">
      <c r="A26" s="2" t="inlineStr">
        <is>
          <t>Чёткий коллективный МАИ</t>
        </is>
      </c>
    </row>
    <row r="27">
      <c r="A27" t="inlineStr">
        <is>
          <t>• Иерархия: цель → 5 критериев → 4 концепции.</t>
        </is>
      </c>
    </row>
    <row r="28">
      <c r="A28" t="inlineStr">
        <is>
          <t>• Каждый эксперт заполняет свои матрицы; коллективная матрица: поэлементное среднее геометрическое суждений (AIJ).</t>
        </is>
      </c>
    </row>
    <row r="29">
      <c r="A29" t="inlineStr">
        <is>
          <t>• Веса: нормированные средние геометрические строк; λmax = Σ(сумма столбца × вес); ИС = (λmax − n)/(n − 1);</t>
        </is>
      </c>
    </row>
    <row r="30">
      <c r="A30" t="inlineStr">
        <is>
          <t xml:space="preserve">  СИ(4) = 0,90, СИ(5) = 1,12; ОС = ИС/СИ, согласовано при ОС ≤ 0,10.</t>
        </is>
      </c>
    </row>
    <row r="31">
      <c r="A31" t="inlineStr">
        <is>
          <t>• Глобальный приоритет концепции = Σ(вес критерия × локальный приоритет концепции).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80" customWidth="1" min="3" max="3"/>
    <col width="70" customWidth="1" min="4" max="4"/>
  </cols>
  <sheetData>
    <row r="1">
      <c r="A1" s="1" t="inlineStr">
        <is>
          <t>Концепции и критерии</t>
        </is>
      </c>
    </row>
    <row r="3">
      <c r="A3" s="3" t="inlineStr">
        <is>
          <t>Код</t>
        </is>
      </c>
      <c r="B3" s="3" t="inlineStr">
        <is>
          <t>Концепция</t>
        </is>
      </c>
      <c r="C3" s="3" t="inlineStr">
        <is>
          <t>Описание</t>
        </is>
      </c>
    </row>
    <row r="4">
      <c r="A4" s="4" t="inlineStr">
        <is>
          <t>A1</t>
        </is>
      </c>
      <c r="B4" s="4" t="inlineStr">
        <is>
          <t>Доска домашек группы</t>
        </is>
      </c>
      <c r="C4" s="5" t="inlineStr">
        <is>
          <t>Telegram-бот группы: студенты добавляют задания и сроки по предметам, бот напоминает о дедлайнах, каждый отмечает выполненное, по команде выводится сводка на неделю</t>
        </is>
      </c>
    </row>
    <row r="5">
      <c r="A5" s="4" t="inlineStr">
        <is>
          <t>A2</t>
        </is>
      </c>
      <c r="B5" s="4" t="inlineStr">
        <is>
          <t>Очередь на защиту лабораторных</t>
        </is>
      </c>
      <c r="C5" s="5" t="inlineStr">
        <is>
          <t>Веб-сервис: преподаватель открывает слоты сдачи, студенты записываются в очередь, получают уведомление, когда подходит их очередь, преподаватель отмечает результат защиты</t>
        </is>
      </c>
    </row>
    <row r="6">
      <c r="A6" s="4" t="inlineStr">
        <is>
          <t>A3</t>
        </is>
      </c>
      <c r="B6" s="4" t="inlineStr">
        <is>
          <t>Общие расходы с друзьями</t>
        </is>
      </c>
      <c r="C6" s="5" t="inlineStr">
        <is>
          <t>Telegram-бот для компании друзей: в поездке или на встрече каждый вносит, кто за что заплатил, бот считает, кто кому сколько должен, сводит долги к минимуму переводов, напоминает о долге, получатель отмечает возврат</t>
        </is>
      </c>
    </row>
    <row r="7">
      <c r="A7" s="4" t="inlineStr">
        <is>
          <t>A4</t>
        </is>
      </c>
      <c r="B7" s="4" t="inlineStr">
        <is>
          <t>Трекер подписок</t>
        </is>
      </c>
      <c r="C7" s="5" t="inlineStr">
        <is>
          <t>Веб-приложение: список регулярных списаний с суммой и датой, напоминание за день до оплаты, итог расходов на подписки в месяц, подсказка отменить подписку, которой давно не пользовались</t>
        </is>
      </c>
    </row>
    <row r="10">
      <c r="A10" s="3" t="inlineStr">
        <is>
          <t>Код</t>
        </is>
      </c>
      <c r="B10" s="3" t="inlineStr">
        <is>
          <t>Критерий</t>
        </is>
      </c>
      <c r="C10" s="3" t="inlineStr">
        <is>
          <t>Тип (max/min)</t>
        </is>
      </c>
      <c r="D10" s="3" t="inlineStr">
        <is>
          <t>Что оценивает</t>
        </is>
      </c>
    </row>
    <row r="11">
      <c r="A11" s="4" t="inlineStr">
        <is>
          <t>C1</t>
        </is>
      </c>
      <c r="B11" s="4" t="inlineStr">
        <is>
          <t>Полезность для пользователей</t>
        </is>
      </c>
      <c r="C11" s="4" t="inlineStr">
        <is>
          <t>max</t>
        </is>
      </c>
      <c r="D11" s="5" t="inlineStr">
        <is>
          <t>Насколько продукт решает реальную и частую проблему целевой аудитории</t>
        </is>
      </c>
    </row>
    <row r="12">
      <c r="A12" s="4" t="inlineStr">
        <is>
          <t>C2</t>
        </is>
      </c>
      <c r="B12" s="4" t="inlineStr">
        <is>
          <t>Трудоёмкость реализации</t>
        </is>
      </c>
      <c r="C12" s="4" t="inlineStr">
        <is>
          <t>min</t>
        </is>
      </c>
      <c r="D12" s="5" t="inlineStr">
        <is>
          <t>Объём и сложность работ при условии 10–15 use case</t>
        </is>
      </c>
    </row>
    <row r="13">
      <c r="A13" s="4" t="inlineStr">
        <is>
          <t>C3</t>
        </is>
      </c>
      <c r="B13" s="4" t="inlineStr">
        <is>
          <t>Внешние зависимости и риски</t>
        </is>
      </c>
      <c r="C13" s="4" t="inlineStr">
        <is>
          <t>min</t>
        </is>
      </c>
      <c r="D13" s="5" t="inlineStr">
        <is>
          <t>Зависимость от сторонних API, платформ и данных, юридические и эксплуатационные риски</t>
        </is>
      </c>
    </row>
    <row r="14">
      <c r="A14" s="4" t="inlineStr">
        <is>
          <t>C4</t>
        </is>
      </c>
      <c r="B14" s="4" t="inlineStr">
        <is>
          <t>Понятность предметной области</t>
        </is>
      </c>
      <c r="C14" s="4" t="inlineStr">
        <is>
          <t>max</t>
        </is>
      </c>
      <c r="D14" s="5" t="inlineStr">
        <is>
          <t>Насколько команде знакома область: легко ли писать use case и оценивать работы в фазах 2–5</t>
        </is>
      </c>
    </row>
    <row r="15">
      <c r="A15" s="4" t="inlineStr">
        <is>
          <t>C5</t>
        </is>
      </c>
      <c r="B15" s="4" t="inlineStr">
        <is>
          <t>Интерес команды</t>
        </is>
      </c>
      <c r="C15" s="4" t="inlineStr">
        <is>
          <t>max</t>
        </is>
      </c>
      <c r="D15" s="5" t="inlineStr">
        <is>
          <t>Насколько команде интересно вести этот проект весь семестр и разбираться в его предметной области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Экспертные оценки: нечёткие трёхточечные числа (l ≤ m ≤ u), концепции по шкале 1–10, веса по шкале 0–1</t>
        </is>
      </c>
    </row>
    <row r="3">
      <c r="A3" s="2" t="inlineStr">
        <is>
          <t>Эксперт 1 (Савелий Хвостов)</t>
        </is>
      </c>
    </row>
    <row r="4">
      <c r="B4" s="3" t="inlineStr">
        <is>
          <t>Концепция</t>
        </is>
      </c>
      <c r="C4" s="3">
        <f>Концепции!$B$11</f>
        <v/>
      </c>
      <c r="D4" s="11" t="n"/>
      <c r="E4" s="12" t="n"/>
      <c r="F4" s="3">
        <f>Концепции!$B$12</f>
        <v/>
      </c>
      <c r="G4" s="11" t="n"/>
      <c r="H4" s="12" t="n"/>
      <c r="I4" s="3">
        <f>Концепции!$B$13</f>
        <v/>
      </c>
      <c r="J4" s="11" t="n"/>
      <c r="K4" s="12" t="n"/>
      <c r="L4" s="3">
        <f>Концепции!$B$14</f>
        <v/>
      </c>
      <c r="M4" s="11" t="n"/>
      <c r="N4" s="12" t="n"/>
      <c r="O4" s="3">
        <f>Концепции!$B$15</f>
        <v/>
      </c>
      <c r="P4" s="11" t="n"/>
      <c r="Q4" s="12" t="n"/>
    </row>
    <row r="5">
      <c r="C5" s="3" t="inlineStr">
        <is>
          <t>l</t>
        </is>
      </c>
      <c r="D5" s="3" t="inlineStr">
        <is>
          <t>m</t>
        </is>
      </c>
      <c r="E5" s="3" t="inlineStr">
        <is>
          <t>u</t>
        </is>
      </c>
      <c r="F5" s="3" t="inlineStr">
        <is>
          <t>l</t>
        </is>
      </c>
      <c r="G5" s="3" t="inlineStr">
        <is>
          <t>m</t>
        </is>
      </c>
      <c r="H5" s="3" t="inlineStr">
        <is>
          <t>u</t>
        </is>
      </c>
      <c r="I5" s="3" t="inlineStr">
        <is>
          <t>l</t>
        </is>
      </c>
      <c r="J5" s="3" t="inlineStr">
        <is>
          <t>m</t>
        </is>
      </c>
      <c r="K5" s="3" t="inlineStr">
        <is>
          <t>u</t>
        </is>
      </c>
      <c r="L5" s="3" t="inlineStr">
        <is>
          <t>l</t>
        </is>
      </c>
      <c r="M5" s="3" t="inlineStr">
        <is>
          <t>m</t>
        </is>
      </c>
      <c r="N5" s="3" t="inlineStr">
        <is>
          <t>u</t>
        </is>
      </c>
      <c r="O5" s="3" t="inlineStr">
        <is>
          <t>l</t>
        </is>
      </c>
      <c r="P5" s="3" t="inlineStr">
        <is>
          <t>m</t>
        </is>
      </c>
      <c r="Q5" s="3" t="inlineStr">
        <is>
          <t>u</t>
        </is>
      </c>
    </row>
    <row r="6">
      <c r="A6" t="inlineStr">
        <is>
          <t>A1</t>
        </is>
      </c>
      <c r="B6" s="4">
        <f>Концепции!$B$4</f>
        <v/>
      </c>
      <c r="C6" s="6" t="n">
        <v>5</v>
      </c>
      <c r="D6" s="6" t="n">
        <v>7</v>
      </c>
      <c r="E6" s="6" t="n">
        <v>9</v>
      </c>
      <c r="F6" s="6" t="n">
        <v>2</v>
      </c>
      <c r="G6" s="6" t="n">
        <v>3</v>
      </c>
      <c r="H6" s="6" t="n">
        <v>5</v>
      </c>
      <c r="I6" s="6" t="n">
        <v>8</v>
      </c>
      <c r="J6" s="6" t="n">
        <v>8</v>
      </c>
      <c r="K6" s="6" t="n">
        <v>8</v>
      </c>
      <c r="L6" s="6" t="n">
        <v>6</v>
      </c>
      <c r="M6" s="6" t="n">
        <v>8</v>
      </c>
      <c r="N6" s="6" t="n">
        <v>10</v>
      </c>
      <c r="O6" s="6" t="n">
        <v>7</v>
      </c>
      <c r="P6" s="6" t="n">
        <v>8</v>
      </c>
      <c r="Q6" s="6" t="n">
        <v>10</v>
      </c>
    </row>
    <row r="7">
      <c r="A7" t="inlineStr">
        <is>
          <t>A2</t>
        </is>
      </c>
      <c r="B7" s="4">
        <f>Концепции!$B$5</f>
        <v/>
      </c>
      <c r="C7" s="6" t="n">
        <v>3</v>
      </c>
      <c r="D7" s="6" t="n">
        <v>6</v>
      </c>
      <c r="E7" s="6" t="n">
        <v>8</v>
      </c>
      <c r="F7" s="6" t="n">
        <v>5</v>
      </c>
      <c r="G7" s="6" t="n">
        <v>7</v>
      </c>
      <c r="H7" s="6" t="n">
        <v>8</v>
      </c>
      <c r="I7" s="6" t="n">
        <v>8</v>
      </c>
      <c r="J7" s="6" t="n">
        <v>10</v>
      </c>
      <c r="K7" s="6" t="n">
        <v>10</v>
      </c>
      <c r="L7" s="6" t="n">
        <v>5</v>
      </c>
      <c r="M7" s="6" t="n">
        <v>7</v>
      </c>
      <c r="N7" s="6" t="n">
        <v>10</v>
      </c>
      <c r="O7" s="6" t="n">
        <v>2</v>
      </c>
      <c r="P7" s="6" t="n">
        <v>6</v>
      </c>
      <c r="Q7" s="6" t="n">
        <v>7</v>
      </c>
    </row>
    <row r="8">
      <c r="A8" t="inlineStr">
        <is>
          <t>A3</t>
        </is>
      </c>
      <c r="B8" s="4">
        <f>Концепции!$B$6</f>
        <v/>
      </c>
      <c r="C8" s="6" t="n">
        <v>2</v>
      </c>
      <c r="D8" s="6" t="n">
        <v>5</v>
      </c>
      <c r="E8" s="6" t="n">
        <v>7</v>
      </c>
      <c r="F8" s="6" t="n">
        <v>2</v>
      </c>
      <c r="G8" s="6" t="n">
        <v>5</v>
      </c>
      <c r="H8" s="6" t="n">
        <v>6</v>
      </c>
      <c r="I8" s="6" t="n">
        <v>3</v>
      </c>
      <c r="J8" s="6" t="n">
        <v>5</v>
      </c>
      <c r="K8" s="6" t="n">
        <v>7</v>
      </c>
      <c r="L8" s="6" t="n">
        <v>6</v>
      </c>
      <c r="M8" s="6" t="n">
        <v>9</v>
      </c>
      <c r="N8" s="6" t="n">
        <v>10</v>
      </c>
      <c r="O8" s="6" t="n">
        <v>8</v>
      </c>
      <c r="P8" s="6" t="n">
        <v>8</v>
      </c>
      <c r="Q8" s="6" t="n">
        <v>9</v>
      </c>
    </row>
    <row r="9">
      <c r="A9" t="inlineStr">
        <is>
          <t>A4</t>
        </is>
      </c>
      <c r="B9" s="4">
        <f>Концепции!$B$7</f>
        <v/>
      </c>
      <c r="C9" s="6" t="n">
        <v>6</v>
      </c>
      <c r="D9" s="6" t="n">
        <v>8</v>
      </c>
      <c r="E9" s="6" t="n">
        <v>10</v>
      </c>
      <c r="F9" s="6" t="n">
        <v>1</v>
      </c>
      <c r="G9" s="6" t="n">
        <v>3</v>
      </c>
      <c r="H9" s="6" t="n">
        <v>4</v>
      </c>
      <c r="I9" s="6" t="n">
        <v>3</v>
      </c>
      <c r="J9" s="6" t="n">
        <v>3</v>
      </c>
      <c r="K9" s="6" t="n">
        <v>3</v>
      </c>
      <c r="L9" s="6" t="n">
        <v>8</v>
      </c>
      <c r="M9" s="6" t="n">
        <v>10</v>
      </c>
      <c r="N9" s="6" t="n">
        <v>10</v>
      </c>
      <c r="O9" s="6" t="n">
        <v>8</v>
      </c>
      <c r="P9" s="6" t="n">
        <v>8</v>
      </c>
      <c r="Q9" s="6" t="n">
        <v>10</v>
      </c>
    </row>
    <row r="10">
      <c r="A10" t="inlineStr">
        <is>
          <t>w</t>
        </is>
      </c>
      <c r="B10" s="4" t="inlineStr">
        <is>
          <t>Важность критерия (0–1)</t>
        </is>
      </c>
      <c r="C10" s="6" t="n">
        <v>0.7</v>
      </c>
      <c r="D10" s="6" t="n">
        <v>0.8</v>
      </c>
      <c r="E10" s="6" t="n">
        <v>0.9</v>
      </c>
      <c r="F10" s="6" t="n">
        <v>0.5</v>
      </c>
      <c r="G10" s="6" t="n">
        <v>0.6</v>
      </c>
      <c r="H10" s="6" t="n">
        <v>0.7</v>
      </c>
      <c r="I10" s="6" t="n">
        <v>0.3</v>
      </c>
      <c r="J10" s="6" t="n">
        <v>0.6</v>
      </c>
      <c r="K10" s="6" t="n">
        <v>0.8</v>
      </c>
      <c r="L10" s="6" t="n">
        <v>0.2</v>
      </c>
      <c r="M10" s="6" t="n">
        <v>0.5</v>
      </c>
      <c r="N10" s="6" t="n">
        <v>0.8</v>
      </c>
      <c r="O10" s="6" t="n">
        <v>0.5</v>
      </c>
      <c r="P10" s="6" t="n">
        <v>0.75</v>
      </c>
      <c r="Q10" s="6" t="n">
        <v>1</v>
      </c>
    </row>
    <row r="11">
      <c r="B11" t="inlineStr">
        <is>
          <t>Проверка l ≤ m ≤ u</t>
        </is>
      </c>
      <c r="C11">
        <f>IF(COUNT(C6:E10)&lt;15,"не заполнено",IF(SUMPRODUCT((C6:C10&gt;D6:D10)+(D6:D10&gt;E6:E10))=0,"ok","порядок!"))</f>
        <v/>
      </c>
      <c r="F11">
        <f>IF(COUNT(F6:H10)&lt;15,"не заполнено",IF(SUMPRODUCT((F6:F10&gt;G6:G10)+(G6:G10&gt;H6:H10))=0,"ok","порядок!"))</f>
        <v/>
      </c>
      <c r="I11">
        <f>IF(COUNT(I6:K10)&lt;15,"не заполнено",IF(SUMPRODUCT((I6:I10&gt;J6:J10)+(J6:J10&gt;K6:K10))=0,"ok","порядок!"))</f>
        <v/>
      </c>
      <c r="L11">
        <f>IF(COUNT(L6:N10)&lt;15,"не заполнено",IF(SUMPRODUCT((L6:L10&gt;M6:M10)+(M6:M10&gt;N6:N10))=0,"ok","порядок!"))</f>
        <v/>
      </c>
      <c r="O11">
        <f>IF(COUNT(O6:Q10)&lt;15,"не заполнено",IF(SUMPRODUCT((O6:O10&gt;P6:P10)+(P6:P10&gt;Q6:Q10))=0,"ok","порядок!"))</f>
        <v/>
      </c>
    </row>
    <row r="13">
      <c r="A13" s="2" t="inlineStr">
        <is>
          <t>Эксперт 2 (Екатерина Козлова)</t>
        </is>
      </c>
    </row>
    <row r="14">
      <c r="B14" s="3" t="inlineStr">
        <is>
          <t>Концепция</t>
        </is>
      </c>
      <c r="C14" s="3">
        <f>Концепции!$B$11</f>
        <v/>
      </c>
      <c r="D14" s="11" t="n"/>
      <c r="E14" s="12" t="n"/>
      <c r="F14" s="3">
        <f>Концепции!$B$12</f>
        <v/>
      </c>
      <c r="G14" s="11" t="n"/>
      <c r="H14" s="12" t="n"/>
      <c r="I14" s="3">
        <f>Концепции!$B$13</f>
        <v/>
      </c>
      <c r="J14" s="11" t="n"/>
      <c r="K14" s="12" t="n"/>
      <c r="L14" s="3">
        <f>Концепции!$B$14</f>
        <v/>
      </c>
      <c r="M14" s="11" t="n"/>
      <c r="N14" s="12" t="n"/>
      <c r="O14" s="3">
        <f>Концепции!$B$15</f>
        <v/>
      </c>
      <c r="P14" s="11" t="n"/>
      <c r="Q14" s="12" t="n"/>
    </row>
    <row r="15">
      <c r="C15" s="3" t="inlineStr">
        <is>
          <t>l</t>
        </is>
      </c>
      <c r="D15" s="3" t="inlineStr">
        <is>
          <t>m</t>
        </is>
      </c>
      <c r="E15" s="3" t="inlineStr">
        <is>
          <t>u</t>
        </is>
      </c>
      <c r="F15" s="3" t="inlineStr">
        <is>
          <t>l</t>
        </is>
      </c>
      <c r="G15" s="3" t="inlineStr">
        <is>
          <t>m</t>
        </is>
      </c>
      <c r="H15" s="3" t="inlineStr">
        <is>
          <t>u</t>
        </is>
      </c>
      <c r="I15" s="3" t="inlineStr">
        <is>
          <t>l</t>
        </is>
      </c>
      <c r="J15" s="3" t="inlineStr">
        <is>
          <t>m</t>
        </is>
      </c>
      <c r="K15" s="3" t="inlineStr">
        <is>
          <t>u</t>
        </is>
      </c>
      <c r="L15" s="3" t="inlineStr">
        <is>
          <t>l</t>
        </is>
      </c>
      <c r="M15" s="3" t="inlineStr">
        <is>
          <t>m</t>
        </is>
      </c>
      <c r="N15" s="3" t="inlineStr">
        <is>
          <t>u</t>
        </is>
      </c>
      <c r="O15" s="3" t="inlineStr">
        <is>
          <t>l</t>
        </is>
      </c>
      <c r="P15" s="3" t="inlineStr">
        <is>
          <t>m</t>
        </is>
      </c>
      <c r="Q15" s="3" t="inlineStr">
        <is>
          <t>u</t>
        </is>
      </c>
    </row>
    <row r="16">
      <c r="A16" t="inlineStr">
        <is>
          <t>A1</t>
        </is>
      </c>
      <c r="B16" s="4">
        <f>Концепции!$B$4</f>
        <v/>
      </c>
      <c r="C16" s="6" t="n">
        <v>5</v>
      </c>
      <c r="D16" s="6" t="n">
        <v>7</v>
      </c>
      <c r="E16" s="6" t="n">
        <v>8</v>
      </c>
      <c r="F16" s="6" t="n">
        <v>3</v>
      </c>
      <c r="G16" s="6" t="n">
        <v>5</v>
      </c>
      <c r="H16" s="6" t="n">
        <v>7</v>
      </c>
      <c r="I16" s="6" t="n">
        <v>2</v>
      </c>
      <c r="J16" s="6" t="n">
        <v>4</v>
      </c>
      <c r="K16" s="6" t="n">
        <v>6</v>
      </c>
      <c r="L16" s="6" t="n">
        <v>3</v>
      </c>
      <c r="M16" s="6" t="n">
        <v>6</v>
      </c>
      <c r="N16" s="6" t="n">
        <v>8</v>
      </c>
      <c r="O16" s="6" t="n">
        <v>5</v>
      </c>
      <c r="P16" s="6" t="n">
        <v>7</v>
      </c>
      <c r="Q16" s="6" t="n">
        <v>8</v>
      </c>
    </row>
    <row r="17">
      <c r="A17" t="inlineStr">
        <is>
          <t>A2</t>
        </is>
      </c>
      <c r="B17" s="4">
        <f>Концепции!$B$5</f>
        <v/>
      </c>
      <c r="C17" s="6" t="n">
        <v>3</v>
      </c>
      <c r="D17" s="6" t="n">
        <v>5</v>
      </c>
      <c r="E17" s="6" t="n">
        <v>6</v>
      </c>
      <c r="F17" s="6" t="n">
        <v>2</v>
      </c>
      <c r="G17" s="6" t="n">
        <v>4</v>
      </c>
      <c r="H17" s="6" t="n">
        <v>6</v>
      </c>
      <c r="I17" s="6" t="n">
        <v>1</v>
      </c>
      <c r="J17" s="6" t="n">
        <v>3</v>
      </c>
      <c r="K17" s="6" t="n">
        <v>5</v>
      </c>
      <c r="L17" s="6" t="n">
        <v>2</v>
      </c>
      <c r="M17" s="6" t="n">
        <v>5</v>
      </c>
      <c r="N17" s="6" t="n">
        <v>7</v>
      </c>
      <c r="O17" s="6" t="n">
        <v>3</v>
      </c>
      <c r="P17" s="6" t="n">
        <v>5</v>
      </c>
      <c r="Q17" s="6" t="n">
        <v>7</v>
      </c>
    </row>
    <row r="18">
      <c r="A18" t="inlineStr">
        <is>
          <t>A3</t>
        </is>
      </c>
      <c r="B18" s="4">
        <f>Концепции!$B$6</f>
        <v/>
      </c>
      <c r="C18" s="6" t="n">
        <v>1</v>
      </c>
      <c r="D18" s="6" t="n">
        <v>3</v>
      </c>
      <c r="E18" s="6" t="n">
        <v>4</v>
      </c>
      <c r="F18" s="6" t="n">
        <v>5</v>
      </c>
      <c r="G18" s="6" t="n">
        <v>7</v>
      </c>
      <c r="H18" s="6" t="n">
        <v>9</v>
      </c>
      <c r="I18" s="6" t="n">
        <v>4</v>
      </c>
      <c r="J18" s="6" t="n">
        <v>6</v>
      </c>
      <c r="K18" s="6" t="n">
        <v>8</v>
      </c>
      <c r="L18" s="6" t="n">
        <v>4</v>
      </c>
      <c r="M18" s="6" t="n">
        <v>7</v>
      </c>
      <c r="N18" s="6" t="n">
        <v>9</v>
      </c>
      <c r="O18" s="6" t="n">
        <v>2</v>
      </c>
      <c r="P18" s="6" t="n">
        <v>4</v>
      </c>
      <c r="Q18" s="6" t="n">
        <v>6</v>
      </c>
    </row>
    <row r="19">
      <c r="A19" t="inlineStr">
        <is>
          <t>A4</t>
        </is>
      </c>
      <c r="B19" s="4">
        <f>Концепции!$B$7</f>
        <v/>
      </c>
      <c r="C19" s="6" t="n">
        <v>7</v>
      </c>
      <c r="D19" s="6" t="n">
        <v>9</v>
      </c>
      <c r="E19" s="6" t="n">
        <v>10</v>
      </c>
      <c r="F19" s="6" t="n">
        <v>4</v>
      </c>
      <c r="G19" s="6" t="n">
        <v>6</v>
      </c>
      <c r="H19" s="6" t="n">
        <v>8</v>
      </c>
      <c r="I19" s="6" t="n">
        <v>3</v>
      </c>
      <c r="J19" s="6" t="n">
        <v>5</v>
      </c>
      <c r="K19" s="6" t="n">
        <v>7</v>
      </c>
      <c r="L19" s="6" t="n">
        <v>5</v>
      </c>
      <c r="M19" s="6" t="n">
        <v>8</v>
      </c>
      <c r="N19" s="6" t="n">
        <v>10</v>
      </c>
      <c r="O19" s="6" t="n">
        <v>7</v>
      </c>
      <c r="P19" s="6" t="n">
        <v>9</v>
      </c>
      <c r="Q19" s="6" t="n">
        <v>10</v>
      </c>
    </row>
    <row r="20">
      <c r="A20" t="inlineStr">
        <is>
          <t>w</t>
        </is>
      </c>
      <c r="B20" s="4" t="inlineStr">
        <is>
          <t>Важность критерия (0–1)</t>
        </is>
      </c>
      <c r="C20" s="6" t="n">
        <v>0.7</v>
      </c>
      <c r="D20" s="6" t="n">
        <v>0.85</v>
      </c>
      <c r="E20" s="6" t="n">
        <v>1</v>
      </c>
      <c r="F20" s="6" t="n">
        <v>0.4</v>
      </c>
      <c r="G20" s="6" t="n">
        <v>0.6</v>
      </c>
      <c r="H20" s="6" t="n">
        <v>0.8</v>
      </c>
      <c r="I20" s="6" t="n">
        <v>0.5</v>
      </c>
      <c r="J20" s="6" t="n">
        <v>0.7</v>
      </c>
      <c r="K20" s="6" t="n">
        <v>0.9</v>
      </c>
      <c r="L20" s="6" t="n">
        <v>0.4</v>
      </c>
      <c r="M20" s="6" t="n">
        <v>0.6</v>
      </c>
      <c r="N20" s="6" t="n">
        <v>0.8</v>
      </c>
      <c r="O20" s="6" t="n">
        <v>0.6</v>
      </c>
      <c r="P20" s="6" t="n">
        <v>0.8</v>
      </c>
      <c r="Q20" s="6" t="n">
        <v>1</v>
      </c>
    </row>
    <row r="21">
      <c r="B21" t="inlineStr">
        <is>
          <t>Проверка l ≤ m ≤ u</t>
        </is>
      </c>
      <c r="C21">
        <f>IF(COUNT(C16:E20)&lt;15,"не заполнено",IF(SUMPRODUCT((C16:C20&gt;D16:D20)+(D16:D20&gt;E16:E20))=0,"ok","порядок!"))</f>
        <v/>
      </c>
      <c r="F21">
        <f>IF(COUNT(F16:H20)&lt;15,"не заполнено",IF(SUMPRODUCT((F16:F20&gt;G16:G20)+(G16:G20&gt;H16:H20))=0,"ok","порядок!"))</f>
        <v/>
      </c>
      <c r="I21">
        <f>IF(COUNT(I16:K20)&lt;15,"не заполнено",IF(SUMPRODUCT((I16:I20&gt;J16:J20)+(J16:J20&gt;K16:K20))=0,"ok","порядок!"))</f>
        <v/>
      </c>
      <c r="L21">
        <f>IF(COUNT(L16:N20)&lt;15,"не заполнено",IF(SUMPRODUCT((L16:L20&gt;M16:M20)+(M16:M20&gt;N16:N20))=0,"ok","порядок!"))</f>
        <v/>
      </c>
      <c r="O21">
        <f>IF(COUNT(O16:Q20)&lt;15,"не заполнено",IF(SUMPRODUCT((O16:O20&gt;P16:P20)+(P16:P20&gt;Q16:Q20))=0,"ok","порядок!"))</f>
        <v/>
      </c>
    </row>
  </sheetData>
  <mergeCells count="10">
    <mergeCell ref="O14:Q14"/>
    <mergeCell ref="C14:E14"/>
    <mergeCell ref="F14:H14"/>
    <mergeCell ref="I14:K14"/>
    <mergeCell ref="L14:N14"/>
    <mergeCell ref="O4:Q4"/>
    <mergeCell ref="C4:E4"/>
    <mergeCell ref="F4:H4"/>
    <mergeCell ref="I4:K4"/>
    <mergeCell ref="L4:N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Нечёткий коллективный метод TOPSIS</t>
        </is>
      </c>
    </row>
    <row r="3">
      <c r="A3" s="2" t="inlineStr">
        <is>
          <t>1. Агрегированная матрица (l = MIN, m = СРЗНАЧ, u = MAX по экспертам)</t>
        </is>
      </c>
    </row>
    <row r="4">
      <c r="B4" s="3" t="inlineStr">
        <is>
          <t>Концепция</t>
        </is>
      </c>
      <c r="C4" s="3">
        <f>Концепции!$B$11</f>
        <v/>
      </c>
      <c r="D4" s="11" t="n"/>
      <c r="E4" s="12" t="n"/>
      <c r="F4" s="3">
        <f>Концепции!$B$12</f>
        <v/>
      </c>
      <c r="G4" s="11" t="n"/>
      <c r="H4" s="12" t="n"/>
      <c r="I4" s="3">
        <f>Концепции!$B$13</f>
        <v/>
      </c>
      <c r="J4" s="11" t="n"/>
      <c r="K4" s="12" t="n"/>
      <c r="L4" s="3">
        <f>Концепции!$B$14</f>
        <v/>
      </c>
      <c r="M4" s="11" t="n"/>
      <c r="N4" s="12" t="n"/>
      <c r="O4" s="3">
        <f>Концепции!$B$15</f>
        <v/>
      </c>
      <c r="P4" s="11" t="n"/>
      <c r="Q4" s="12" t="n"/>
    </row>
    <row r="5">
      <c r="C5" s="3" t="inlineStr">
        <is>
          <t>l</t>
        </is>
      </c>
      <c r="D5" s="3" t="inlineStr">
        <is>
          <t>m</t>
        </is>
      </c>
      <c r="E5" s="3" t="inlineStr">
        <is>
          <t>u</t>
        </is>
      </c>
      <c r="F5" s="3" t="inlineStr">
        <is>
          <t>l</t>
        </is>
      </c>
      <c r="G5" s="3" t="inlineStr">
        <is>
          <t>m</t>
        </is>
      </c>
      <c r="H5" s="3" t="inlineStr">
        <is>
          <t>u</t>
        </is>
      </c>
      <c r="I5" s="3" t="inlineStr">
        <is>
          <t>l</t>
        </is>
      </c>
      <c r="J5" s="3" t="inlineStr">
        <is>
          <t>m</t>
        </is>
      </c>
      <c r="K5" s="3" t="inlineStr">
        <is>
          <t>u</t>
        </is>
      </c>
      <c r="L5" s="3" t="inlineStr">
        <is>
          <t>l</t>
        </is>
      </c>
      <c r="M5" s="3" t="inlineStr">
        <is>
          <t>m</t>
        </is>
      </c>
      <c r="N5" s="3" t="inlineStr">
        <is>
          <t>u</t>
        </is>
      </c>
      <c r="O5" s="3" t="inlineStr">
        <is>
          <t>l</t>
        </is>
      </c>
      <c r="P5" s="3" t="inlineStr">
        <is>
          <t>m</t>
        </is>
      </c>
      <c r="Q5" s="3" t="inlineStr">
        <is>
          <t>u</t>
        </is>
      </c>
    </row>
    <row r="6">
      <c r="A6" t="inlineStr">
        <is>
          <t>A1</t>
        </is>
      </c>
      <c r="B6" s="4">
        <f>Концепции!$B$4</f>
        <v/>
      </c>
      <c r="C6" s="7">
        <f>MIN(Оценки!$C$6,Оценки!$C$16)</f>
        <v/>
      </c>
      <c r="D6" s="7">
        <f>AVERAGE(Оценки!$D$6,Оценки!$D$16)</f>
        <v/>
      </c>
      <c r="E6" s="7">
        <f>MAX(Оценки!$E$6,Оценки!$E$16)</f>
        <v/>
      </c>
      <c r="F6" s="7">
        <f>MIN(Оценки!$F$6,Оценки!$F$16)</f>
        <v/>
      </c>
      <c r="G6" s="7">
        <f>AVERAGE(Оценки!$G$6,Оценки!$G$16)</f>
        <v/>
      </c>
      <c r="H6" s="7">
        <f>MAX(Оценки!$H$6,Оценки!$H$16)</f>
        <v/>
      </c>
      <c r="I6" s="7">
        <f>MIN(Оценки!$I$6,Оценки!$I$16)</f>
        <v/>
      </c>
      <c r="J6" s="7">
        <f>AVERAGE(Оценки!$J$6,Оценки!$J$16)</f>
        <v/>
      </c>
      <c r="K6" s="7">
        <f>MAX(Оценки!$K$6,Оценки!$K$16)</f>
        <v/>
      </c>
      <c r="L6" s="7">
        <f>MIN(Оценки!$L$6,Оценки!$L$16)</f>
        <v/>
      </c>
      <c r="M6" s="7">
        <f>AVERAGE(Оценки!$M$6,Оценки!$M$16)</f>
        <v/>
      </c>
      <c r="N6" s="7">
        <f>MAX(Оценки!$N$6,Оценки!$N$16)</f>
        <v/>
      </c>
      <c r="O6" s="7">
        <f>MIN(Оценки!$O$6,Оценки!$O$16)</f>
        <v/>
      </c>
      <c r="P6" s="7">
        <f>AVERAGE(Оценки!$P$6,Оценки!$P$16)</f>
        <v/>
      </c>
      <c r="Q6" s="7">
        <f>MAX(Оценки!$Q$6,Оценки!$Q$16)</f>
        <v/>
      </c>
    </row>
    <row r="7">
      <c r="A7" t="inlineStr">
        <is>
          <t>A2</t>
        </is>
      </c>
      <c r="B7" s="4">
        <f>Концепции!$B$5</f>
        <v/>
      </c>
      <c r="C7" s="7">
        <f>MIN(Оценки!$C$7,Оценки!$C$17)</f>
        <v/>
      </c>
      <c r="D7" s="7">
        <f>AVERAGE(Оценки!$D$7,Оценки!$D$17)</f>
        <v/>
      </c>
      <c r="E7" s="7">
        <f>MAX(Оценки!$E$7,Оценки!$E$17)</f>
        <v/>
      </c>
      <c r="F7" s="7">
        <f>MIN(Оценки!$F$7,Оценки!$F$17)</f>
        <v/>
      </c>
      <c r="G7" s="7">
        <f>AVERAGE(Оценки!$G$7,Оценки!$G$17)</f>
        <v/>
      </c>
      <c r="H7" s="7">
        <f>MAX(Оценки!$H$7,Оценки!$H$17)</f>
        <v/>
      </c>
      <c r="I7" s="7">
        <f>MIN(Оценки!$I$7,Оценки!$I$17)</f>
        <v/>
      </c>
      <c r="J7" s="7">
        <f>AVERAGE(Оценки!$J$7,Оценки!$J$17)</f>
        <v/>
      </c>
      <c r="K7" s="7">
        <f>MAX(Оценки!$K$7,Оценки!$K$17)</f>
        <v/>
      </c>
      <c r="L7" s="7">
        <f>MIN(Оценки!$L$7,Оценки!$L$17)</f>
        <v/>
      </c>
      <c r="M7" s="7">
        <f>AVERAGE(Оценки!$M$7,Оценки!$M$17)</f>
        <v/>
      </c>
      <c r="N7" s="7">
        <f>MAX(Оценки!$N$7,Оценки!$N$17)</f>
        <v/>
      </c>
      <c r="O7" s="7">
        <f>MIN(Оценки!$O$7,Оценки!$O$17)</f>
        <v/>
      </c>
      <c r="P7" s="7">
        <f>AVERAGE(Оценки!$P$7,Оценки!$P$17)</f>
        <v/>
      </c>
      <c r="Q7" s="7">
        <f>MAX(Оценки!$Q$7,Оценки!$Q$17)</f>
        <v/>
      </c>
    </row>
    <row r="8">
      <c r="A8" t="inlineStr">
        <is>
          <t>A3</t>
        </is>
      </c>
      <c r="B8" s="4">
        <f>Концепции!$B$6</f>
        <v/>
      </c>
      <c r="C8" s="7">
        <f>MIN(Оценки!$C$8,Оценки!$C$18)</f>
        <v/>
      </c>
      <c r="D8" s="7">
        <f>AVERAGE(Оценки!$D$8,Оценки!$D$18)</f>
        <v/>
      </c>
      <c r="E8" s="7">
        <f>MAX(Оценки!$E$8,Оценки!$E$18)</f>
        <v/>
      </c>
      <c r="F8" s="7">
        <f>MIN(Оценки!$F$8,Оценки!$F$18)</f>
        <v/>
      </c>
      <c r="G8" s="7">
        <f>AVERAGE(Оценки!$G$8,Оценки!$G$18)</f>
        <v/>
      </c>
      <c r="H8" s="7">
        <f>MAX(Оценки!$H$8,Оценки!$H$18)</f>
        <v/>
      </c>
      <c r="I8" s="7">
        <f>MIN(Оценки!$I$8,Оценки!$I$18)</f>
        <v/>
      </c>
      <c r="J8" s="7">
        <f>AVERAGE(Оценки!$J$8,Оценки!$J$18)</f>
        <v/>
      </c>
      <c r="K8" s="7">
        <f>MAX(Оценки!$K$8,Оценки!$K$18)</f>
        <v/>
      </c>
      <c r="L8" s="7">
        <f>MIN(Оценки!$L$8,Оценки!$L$18)</f>
        <v/>
      </c>
      <c r="M8" s="7">
        <f>AVERAGE(Оценки!$M$8,Оценки!$M$18)</f>
        <v/>
      </c>
      <c r="N8" s="7">
        <f>MAX(Оценки!$N$8,Оценки!$N$18)</f>
        <v/>
      </c>
      <c r="O8" s="7">
        <f>MIN(Оценки!$O$8,Оценки!$O$18)</f>
        <v/>
      </c>
      <c r="P8" s="7">
        <f>AVERAGE(Оценки!$P$8,Оценки!$P$18)</f>
        <v/>
      </c>
      <c r="Q8" s="7">
        <f>MAX(Оценки!$Q$8,Оценки!$Q$18)</f>
        <v/>
      </c>
    </row>
    <row r="9">
      <c r="A9" t="inlineStr">
        <is>
          <t>A4</t>
        </is>
      </c>
      <c r="B9" s="4">
        <f>Концепции!$B$7</f>
        <v/>
      </c>
      <c r="C9" s="7">
        <f>MIN(Оценки!$C$9,Оценки!$C$19)</f>
        <v/>
      </c>
      <c r="D9" s="7">
        <f>AVERAGE(Оценки!$D$9,Оценки!$D$19)</f>
        <v/>
      </c>
      <c r="E9" s="7">
        <f>MAX(Оценки!$E$9,Оценки!$E$19)</f>
        <v/>
      </c>
      <c r="F9" s="7">
        <f>MIN(Оценки!$F$9,Оценки!$F$19)</f>
        <v/>
      </c>
      <c r="G9" s="7">
        <f>AVERAGE(Оценки!$G$9,Оценки!$G$19)</f>
        <v/>
      </c>
      <c r="H9" s="7">
        <f>MAX(Оценки!$H$9,Оценки!$H$19)</f>
        <v/>
      </c>
      <c r="I9" s="7">
        <f>MIN(Оценки!$I$9,Оценки!$I$19)</f>
        <v/>
      </c>
      <c r="J9" s="7">
        <f>AVERAGE(Оценки!$J$9,Оценки!$J$19)</f>
        <v/>
      </c>
      <c r="K9" s="7">
        <f>MAX(Оценки!$K$9,Оценки!$K$19)</f>
        <v/>
      </c>
      <c r="L9" s="7">
        <f>MIN(Оценки!$L$9,Оценки!$L$19)</f>
        <v/>
      </c>
      <c r="M9" s="7">
        <f>AVERAGE(Оценки!$M$9,Оценки!$M$19)</f>
        <v/>
      </c>
      <c r="N9" s="7">
        <f>MAX(Оценки!$N$9,Оценки!$N$19)</f>
        <v/>
      </c>
      <c r="O9" s="7">
        <f>MIN(Оценки!$O$9,Оценки!$O$19)</f>
        <v/>
      </c>
      <c r="P9" s="7">
        <f>AVERAGE(Оценки!$P$9,Оценки!$P$19)</f>
        <v/>
      </c>
      <c r="Q9" s="7">
        <f>MAX(Оценки!$Q$9,Оценки!$Q$19)</f>
        <v/>
      </c>
    </row>
    <row r="10">
      <c r="A10" t="inlineStr">
        <is>
          <t>w</t>
        </is>
      </c>
      <c r="B10" s="4" t="inlineStr">
        <is>
          <t>Агрегированный вес</t>
        </is>
      </c>
      <c r="C10" s="7">
        <f>MIN(Оценки!$C$10,Оценки!$C$20)</f>
        <v/>
      </c>
      <c r="D10" s="7">
        <f>AVERAGE(Оценки!$D$10,Оценки!$D$20)</f>
        <v/>
      </c>
      <c r="E10" s="7">
        <f>MAX(Оценки!$E$10,Оценки!$E$20)</f>
        <v/>
      </c>
      <c r="F10" s="7">
        <f>MIN(Оценки!$F$10,Оценки!$F$20)</f>
        <v/>
      </c>
      <c r="G10" s="7">
        <f>AVERAGE(Оценки!$G$10,Оценки!$G$20)</f>
        <v/>
      </c>
      <c r="H10" s="7">
        <f>MAX(Оценки!$H$10,Оценки!$H$20)</f>
        <v/>
      </c>
      <c r="I10" s="7">
        <f>MIN(Оценки!$I$10,Оценки!$I$20)</f>
        <v/>
      </c>
      <c r="J10" s="7">
        <f>AVERAGE(Оценки!$J$10,Оценки!$J$20)</f>
        <v/>
      </c>
      <c r="K10" s="7">
        <f>MAX(Оценки!$K$10,Оценки!$K$20)</f>
        <v/>
      </c>
      <c r="L10" s="7">
        <f>MIN(Оценки!$L$10,Оценки!$L$20)</f>
        <v/>
      </c>
      <c r="M10" s="7">
        <f>AVERAGE(Оценки!$M$10,Оценки!$M$20)</f>
        <v/>
      </c>
      <c r="N10" s="7">
        <f>MAX(Оценки!$N$10,Оценки!$N$20)</f>
        <v/>
      </c>
      <c r="O10" s="7">
        <f>MIN(Оценки!$O$10,Оценки!$O$20)</f>
        <v/>
      </c>
      <c r="P10" s="7">
        <f>AVERAGE(Оценки!$P$10,Оценки!$P$20)</f>
        <v/>
      </c>
      <c r="Q10" s="7">
        <f>MAX(Оценки!$Q$10,Оценки!$Q$20)</f>
        <v/>
      </c>
    </row>
    <row r="11">
      <c r="B11" t="inlineStr">
        <is>
          <t>Тип критерия</t>
        </is>
      </c>
      <c r="C11" s="8">
        <f>Концепции!$C$11</f>
        <v/>
      </c>
      <c r="F11" s="8">
        <f>Концепции!$C$12</f>
        <v/>
      </c>
      <c r="I11" s="8">
        <f>Концепции!$C$13</f>
        <v/>
      </c>
      <c r="L11" s="8">
        <f>Концепции!$C$14</f>
        <v/>
      </c>
      <c r="O11" s="8">
        <f>Концепции!$C$15</f>
        <v/>
      </c>
    </row>
    <row r="12">
      <c r="B12" t="inlineStr">
        <is>
          <t>u* = max u</t>
        </is>
      </c>
      <c r="C12" s="7">
        <f>MAX(E6:E9)</f>
        <v/>
      </c>
      <c r="F12" s="7">
        <f>MAX(H6:H9)</f>
        <v/>
      </c>
      <c r="I12" s="7">
        <f>MAX(K6:K9)</f>
        <v/>
      </c>
      <c r="L12" s="7">
        <f>MAX(N6:N9)</f>
        <v/>
      </c>
      <c r="O12" s="7">
        <f>MAX(Q6:Q9)</f>
        <v/>
      </c>
    </row>
    <row r="13">
      <c r="B13" t="inlineStr">
        <is>
          <t>l⁻ = min l</t>
        </is>
      </c>
      <c r="C13" s="7">
        <f>MIN(C6:C9)</f>
        <v/>
      </c>
      <c r="F13" s="7">
        <f>MIN(F6:F9)</f>
        <v/>
      </c>
      <c r="I13" s="7">
        <f>MIN(I6:I9)</f>
        <v/>
      </c>
      <c r="L13" s="7">
        <f>MIN(L6:L9)</f>
        <v/>
      </c>
      <c r="O13" s="7">
        <f>MIN(O6:O9)</f>
        <v/>
      </c>
    </row>
    <row r="15">
      <c r="A15" s="2" t="inlineStr">
        <is>
          <t>2. Нормализованная матрица</t>
        </is>
      </c>
    </row>
    <row r="16">
      <c r="B16" s="3" t="inlineStr">
        <is>
          <t>Концепция</t>
        </is>
      </c>
      <c r="C16" s="3">
        <f>Концепции!$B$11</f>
        <v/>
      </c>
      <c r="D16" s="11" t="n"/>
      <c r="E16" s="12" t="n"/>
      <c r="F16" s="3">
        <f>Концепции!$B$12</f>
        <v/>
      </c>
      <c r="G16" s="11" t="n"/>
      <c r="H16" s="12" t="n"/>
      <c r="I16" s="3">
        <f>Концепции!$B$13</f>
        <v/>
      </c>
      <c r="J16" s="11" t="n"/>
      <c r="K16" s="12" t="n"/>
      <c r="L16" s="3">
        <f>Концепции!$B$14</f>
        <v/>
      </c>
      <c r="M16" s="11" t="n"/>
      <c r="N16" s="12" t="n"/>
      <c r="O16" s="3">
        <f>Концепции!$B$15</f>
        <v/>
      </c>
      <c r="P16" s="11" t="n"/>
      <c r="Q16" s="12" t="n"/>
    </row>
    <row r="17">
      <c r="C17" s="3" t="inlineStr">
        <is>
          <t>l</t>
        </is>
      </c>
      <c r="D17" s="3" t="inlineStr">
        <is>
          <t>m</t>
        </is>
      </c>
      <c r="E17" s="3" t="inlineStr">
        <is>
          <t>u</t>
        </is>
      </c>
      <c r="F17" s="3" t="inlineStr">
        <is>
          <t>l</t>
        </is>
      </c>
      <c r="G17" s="3" t="inlineStr">
        <is>
          <t>m</t>
        </is>
      </c>
      <c r="H17" s="3" t="inlineStr">
        <is>
          <t>u</t>
        </is>
      </c>
      <c r="I17" s="3" t="inlineStr">
        <is>
          <t>l</t>
        </is>
      </c>
      <c r="J17" s="3" t="inlineStr">
        <is>
          <t>m</t>
        </is>
      </c>
      <c r="K17" s="3" t="inlineStr">
        <is>
          <t>u</t>
        </is>
      </c>
      <c r="L17" s="3" t="inlineStr">
        <is>
          <t>l</t>
        </is>
      </c>
      <c r="M17" s="3" t="inlineStr">
        <is>
          <t>m</t>
        </is>
      </c>
      <c r="N17" s="3" t="inlineStr">
        <is>
          <t>u</t>
        </is>
      </c>
      <c r="O17" s="3" t="inlineStr">
        <is>
          <t>l</t>
        </is>
      </c>
      <c r="P17" s="3" t="inlineStr">
        <is>
          <t>m</t>
        </is>
      </c>
      <c r="Q17" s="3" t="inlineStr">
        <is>
          <t>u</t>
        </is>
      </c>
    </row>
    <row r="18">
      <c r="A18" t="inlineStr">
        <is>
          <t>A1</t>
        </is>
      </c>
      <c r="B18" s="4">
        <f>Концепции!$B$4</f>
        <v/>
      </c>
      <c r="C18" s="7">
        <f>IF($C$11="max",C6/$C$12,$C$13/E6)</f>
        <v/>
      </c>
      <c r="D18" s="7">
        <f>IF($C$11="max",D6/$C$12,$C$13/D6)</f>
        <v/>
      </c>
      <c r="E18" s="7">
        <f>IF($C$11="max",E6/$C$12,$C$13/C6)</f>
        <v/>
      </c>
      <c r="F18" s="7">
        <f>IF($F$11="max",F6/$F$12,$F$13/H6)</f>
        <v/>
      </c>
      <c r="G18" s="7">
        <f>IF($F$11="max",G6/$F$12,$F$13/G6)</f>
        <v/>
      </c>
      <c r="H18" s="7">
        <f>IF($F$11="max",H6/$F$12,$F$13/F6)</f>
        <v/>
      </c>
      <c r="I18" s="7">
        <f>IF($I$11="max",I6/$I$12,$I$13/K6)</f>
        <v/>
      </c>
      <c r="J18" s="7">
        <f>IF($I$11="max",J6/$I$12,$I$13/J6)</f>
        <v/>
      </c>
      <c r="K18" s="7">
        <f>IF($I$11="max",K6/$I$12,$I$13/I6)</f>
        <v/>
      </c>
      <c r="L18" s="7">
        <f>IF($L$11="max",L6/$L$12,$L$13/N6)</f>
        <v/>
      </c>
      <c r="M18" s="7">
        <f>IF($L$11="max",M6/$L$12,$L$13/M6)</f>
        <v/>
      </c>
      <c r="N18" s="7">
        <f>IF($L$11="max",N6/$L$12,$L$13/L6)</f>
        <v/>
      </c>
      <c r="O18" s="7">
        <f>IF($O$11="max",O6/$O$12,$O$13/Q6)</f>
        <v/>
      </c>
      <c r="P18" s="7">
        <f>IF($O$11="max",P6/$O$12,$O$13/P6)</f>
        <v/>
      </c>
      <c r="Q18" s="7">
        <f>IF($O$11="max",Q6/$O$12,$O$13/O6)</f>
        <v/>
      </c>
    </row>
    <row r="19">
      <c r="A19" t="inlineStr">
        <is>
          <t>A2</t>
        </is>
      </c>
      <c r="B19" s="4">
        <f>Концепции!$B$5</f>
        <v/>
      </c>
      <c r="C19" s="7">
        <f>IF($C$11="max",C7/$C$12,$C$13/E7)</f>
        <v/>
      </c>
      <c r="D19" s="7">
        <f>IF($C$11="max",D7/$C$12,$C$13/D7)</f>
        <v/>
      </c>
      <c r="E19" s="7">
        <f>IF($C$11="max",E7/$C$12,$C$13/C7)</f>
        <v/>
      </c>
      <c r="F19" s="7">
        <f>IF($F$11="max",F7/$F$12,$F$13/H7)</f>
        <v/>
      </c>
      <c r="G19" s="7">
        <f>IF($F$11="max",G7/$F$12,$F$13/G7)</f>
        <v/>
      </c>
      <c r="H19" s="7">
        <f>IF($F$11="max",H7/$F$12,$F$13/F7)</f>
        <v/>
      </c>
      <c r="I19" s="7">
        <f>IF($I$11="max",I7/$I$12,$I$13/K7)</f>
        <v/>
      </c>
      <c r="J19" s="7">
        <f>IF($I$11="max",J7/$I$12,$I$13/J7)</f>
        <v/>
      </c>
      <c r="K19" s="7">
        <f>IF($I$11="max",K7/$I$12,$I$13/I7)</f>
        <v/>
      </c>
      <c r="L19" s="7">
        <f>IF($L$11="max",L7/$L$12,$L$13/N7)</f>
        <v/>
      </c>
      <c r="M19" s="7">
        <f>IF($L$11="max",M7/$L$12,$L$13/M7)</f>
        <v/>
      </c>
      <c r="N19" s="7">
        <f>IF($L$11="max",N7/$L$12,$L$13/L7)</f>
        <v/>
      </c>
      <c r="O19" s="7">
        <f>IF($O$11="max",O7/$O$12,$O$13/Q7)</f>
        <v/>
      </c>
      <c r="P19" s="7">
        <f>IF($O$11="max",P7/$O$12,$O$13/P7)</f>
        <v/>
      </c>
      <c r="Q19" s="7">
        <f>IF($O$11="max",Q7/$O$12,$O$13/O7)</f>
        <v/>
      </c>
    </row>
    <row r="20">
      <c r="A20" t="inlineStr">
        <is>
          <t>A3</t>
        </is>
      </c>
      <c r="B20" s="4">
        <f>Концепции!$B$6</f>
        <v/>
      </c>
      <c r="C20" s="7">
        <f>IF($C$11="max",C8/$C$12,$C$13/E8)</f>
        <v/>
      </c>
      <c r="D20" s="7">
        <f>IF($C$11="max",D8/$C$12,$C$13/D8)</f>
        <v/>
      </c>
      <c r="E20" s="7">
        <f>IF($C$11="max",E8/$C$12,$C$13/C8)</f>
        <v/>
      </c>
      <c r="F20" s="7">
        <f>IF($F$11="max",F8/$F$12,$F$13/H8)</f>
        <v/>
      </c>
      <c r="G20" s="7">
        <f>IF($F$11="max",G8/$F$12,$F$13/G8)</f>
        <v/>
      </c>
      <c r="H20" s="7">
        <f>IF($F$11="max",H8/$F$12,$F$13/F8)</f>
        <v/>
      </c>
      <c r="I20" s="7">
        <f>IF($I$11="max",I8/$I$12,$I$13/K8)</f>
        <v/>
      </c>
      <c r="J20" s="7">
        <f>IF($I$11="max",J8/$I$12,$I$13/J8)</f>
        <v/>
      </c>
      <c r="K20" s="7">
        <f>IF($I$11="max",K8/$I$12,$I$13/I8)</f>
        <v/>
      </c>
      <c r="L20" s="7">
        <f>IF($L$11="max",L8/$L$12,$L$13/N8)</f>
        <v/>
      </c>
      <c r="M20" s="7">
        <f>IF($L$11="max",M8/$L$12,$L$13/M8)</f>
        <v/>
      </c>
      <c r="N20" s="7">
        <f>IF($L$11="max",N8/$L$12,$L$13/L8)</f>
        <v/>
      </c>
      <c r="O20" s="7">
        <f>IF($O$11="max",O8/$O$12,$O$13/Q8)</f>
        <v/>
      </c>
      <c r="P20" s="7">
        <f>IF($O$11="max",P8/$O$12,$O$13/P8)</f>
        <v/>
      </c>
      <c r="Q20" s="7">
        <f>IF($O$11="max",Q8/$O$12,$O$13/O8)</f>
        <v/>
      </c>
    </row>
    <row r="21">
      <c r="A21" t="inlineStr">
        <is>
          <t>A4</t>
        </is>
      </c>
      <c r="B21" s="4">
        <f>Концепции!$B$7</f>
        <v/>
      </c>
      <c r="C21" s="7">
        <f>IF($C$11="max",C9/$C$12,$C$13/E9)</f>
        <v/>
      </c>
      <c r="D21" s="7">
        <f>IF($C$11="max",D9/$C$12,$C$13/D9)</f>
        <v/>
      </c>
      <c r="E21" s="7">
        <f>IF($C$11="max",E9/$C$12,$C$13/C9)</f>
        <v/>
      </c>
      <c r="F21" s="7">
        <f>IF($F$11="max",F9/$F$12,$F$13/H9)</f>
        <v/>
      </c>
      <c r="G21" s="7">
        <f>IF($F$11="max",G9/$F$12,$F$13/G9)</f>
        <v/>
      </c>
      <c r="H21" s="7">
        <f>IF($F$11="max",H9/$F$12,$F$13/F9)</f>
        <v/>
      </c>
      <c r="I21" s="7">
        <f>IF($I$11="max",I9/$I$12,$I$13/K9)</f>
        <v/>
      </c>
      <c r="J21" s="7">
        <f>IF($I$11="max",J9/$I$12,$I$13/J9)</f>
        <v/>
      </c>
      <c r="K21" s="7">
        <f>IF($I$11="max",K9/$I$12,$I$13/I9)</f>
        <v/>
      </c>
      <c r="L21" s="7">
        <f>IF($L$11="max",L9/$L$12,$L$13/N9)</f>
        <v/>
      </c>
      <c r="M21" s="7">
        <f>IF($L$11="max",M9/$L$12,$L$13/M9)</f>
        <v/>
      </c>
      <c r="N21" s="7">
        <f>IF($L$11="max",N9/$L$12,$L$13/L9)</f>
        <v/>
      </c>
      <c r="O21" s="7">
        <f>IF($O$11="max",O9/$O$12,$O$13/Q9)</f>
        <v/>
      </c>
      <c r="P21" s="7">
        <f>IF($O$11="max",P9/$O$12,$O$13/P9)</f>
        <v/>
      </c>
      <c r="Q21" s="7">
        <f>IF($O$11="max",Q9/$O$12,$O$13/O9)</f>
        <v/>
      </c>
    </row>
    <row r="23">
      <c r="A23" s="2" t="inlineStr">
        <is>
          <t>3. Взвешенная нормализованная матрица v = r ⊗ w</t>
        </is>
      </c>
    </row>
    <row r="24">
      <c r="B24" s="3" t="inlineStr">
        <is>
          <t>Концепция</t>
        </is>
      </c>
      <c r="C24" s="3">
        <f>Концепции!$B$11</f>
        <v/>
      </c>
      <c r="D24" s="11" t="n"/>
      <c r="E24" s="12" t="n"/>
      <c r="F24" s="3">
        <f>Концепции!$B$12</f>
        <v/>
      </c>
      <c r="G24" s="11" t="n"/>
      <c r="H24" s="12" t="n"/>
      <c r="I24" s="3">
        <f>Концепции!$B$13</f>
        <v/>
      </c>
      <c r="J24" s="11" t="n"/>
      <c r="K24" s="12" t="n"/>
      <c r="L24" s="3">
        <f>Концепции!$B$14</f>
        <v/>
      </c>
      <c r="M24" s="11" t="n"/>
      <c r="N24" s="12" t="n"/>
      <c r="O24" s="3">
        <f>Концепции!$B$15</f>
        <v/>
      </c>
      <c r="P24" s="11" t="n"/>
      <c r="Q24" s="12" t="n"/>
    </row>
    <row r="25">
      <c r="C25" s="3" t="inlineStr">
        <is>
          <t>l</t>
        </is>
      </c>
      <c r="D25" s="3" t="inlineStr">
        <is>
          <t>m</t>
        </is>
      </c>
      <c r="E25" s="3" t="inlineStr">
        <is>
          <t>u</t>
        </is>
      </c>
      <c r="F25" s="3" t="inlineStr">
        <is>
          <t>l</t>
        </is>
      </c>
      <c r="G25" s="3" t="inlineStr">
        <is>
          <t>m</t>
        </is>
      </c>
      <c r="H25" s="3" t="inlineStr">
        <is>
          <t>u</t>
        </is>
      </c>
      <c r="I25" s="3" t="inlineStr">
        <is>
          <t>l</t>
        </is>
      </c>
      <c r="J25" s="3" t="inlineStr">
        <is>
          <t>m</t>
        </is>
      </c>
      <c r="K25" s="3" t="inlineStr">
        <is>
          <t>u</t>
        </is>
      </c>
      <c r="L25" s="3" t="inlineStr">
        <is>
          <t>l</t>
        </is>
      </c>
      <c r="M25" s="3" t="inlineStr">
        <is>
          <t>m</t>
        </is>
      </c>
      <c r="N25" s="3" t="inlineStr">
        <is>
          <t>u</t>
        </is>
      </c>
      <c r="O25" s="3" t="inlineStr">
        <is>
          <t>l</t>
        </is>
      </c>
      <c r="P25" s="3" t="inlineStr">
        <is>
          <t>m</t>
        </is>
      </c>
      <c r="Q25" s="3" t="inlineStr">
        <is>
          <t>u</t>
        </is>
      </c>
    </row>
    <row r="26">
      <c r="A26" t="inlineStr">
        <is>
          <t>A1</t>
        </is>
      </c>
      <c r="B26" s="4">
        <f>Концепции!$B$4</f>
        <v/>
      </c>
      <c r="C26" s="7">
        <f>C18*$C$10</f>
        <v/>
      </c>
      <c r="D26" s="7">
        <f>D18*$D$10</f>
        <v/>
      </c>
      <c r="E26" s="7">
        <f>E18*$E$10</f>
        <v/>
      </c>
      <c r="F26" s="7">
        <f>F18*$F$10</f>
        <v/>
      </c>
      <c r="G26" s="7">
        <f>G18*$G$10</f>
        <v/>
      </c>
      <c r="H26" s="7">
        <f>H18*$H$10</f>
        <v/>
      </c>
      <c r="I26" s="7">
        <f>I18*$I$10</f>
        <v/>
      </c>
      <c r="J26" s="7">
        <f>J18*$J$10</f>
        <v/>
      </c>
      <c r="K26" s="7">
        <f>K18*$K$10</f>
        <v/>
      </c>
      <c r="L26" s="7">
        <f>L18*$L$10</f>
        <v/>
      </c>
      <c r="M26" s="7">
        <f>M18*$M$10</f>
        <v/>
      </c>
      <c r="N26" s="7">
        <f>N18*$N$10</f>
        <v/>
      </c>
      <c r="O26" s="7">
        <f>O18*$O$10</f>
        <v/>
      </c>
      <c r="P26" s="7">
        <f>P18*$P$10</f>
        <v/>
      </c>
      <c r="Q26" s="7">
        <f>Q18*$Q$10</f>
        <v/>
      </c>
    </row>
    <row r="27">
      <c r="A27" t="inlineStr">
        <is>
          <t>A2</t>
        </is>
      </c>
      <c r="B27" s="4">
        <f>Концепции!$B$5</f>
        <v/>
      </c>
      <c r="C27" s="7">
        <f>C19*$C$10</f>
        <v/>
      </c>
      <c r="D27" s="7">
        <f>D19*$D$10</f>
        <v/>
      </c>
      <c r="E27" s="7">
        <f>E19*$E$10</f>
        <v/>
      </c>
      <c r="F27" s="7">
        <f>F19*$F$10</f>
        <v/>
      </c>
      <c r="G27" s="7">
        <f>G19*$G$10</f>
        <v/>
      </c>
      <c r="H27" s="7">
        <f>H19*$H$10</f>
        <v/>
      </c>
      <c r="I27" s="7">
        <f>I19*$I$10</f>
        <v/>
      </c>
      <c r="J27" s="7">
        <f>J19*$J$10</f>
        <v/>
      </c>
      <c r="K27" s="7">
        <f>K19*$K$10</f>
        <v/>
      </c>
      <c r="L27" s="7">
        <f>L19*$L$10</f>
        <v/>
      </c>
      <c r="M27" s="7">
        <f>M19*$M$10</f>
        <v/>
      </c>
      <c r="N27" s="7">
        <f>N19*$N$10</f>
        <v/>
      </c>
      <c r="O27" s="7">
        <f>O19*$O$10</f>
        <v/>
      </c>
      <c r="P27" s="7">
        <f>P19*$P$10</f>
        <v/>
      </c>
      <c r="Q27" s="7">
        <f>Q19*$Q$10</f>
        <v/>
      </c>
    </row>
    <row r="28">
      <c r="A28" t="inlineStr">
        <is>
          <t>A3</t>
        </is>
      </c>
      <c r="B28" s="4">
        <f>Концепции!$B$6</f>
        <v/>
      </c>
      <c r="C28" s="7">
        <f>C20*$C$10</f>
        <v/>
      </c>
      <c r="D28" s="7">
        <f>D20*$D$10</f>
        <v/>
      </c>
      <c r="E28" s="7">
        <f>E20*$E$10</f>
        <v/>
      </c>
      <c r="F28" s="7">
        <f>F20*$F$10</f>
        <v/>
      </c>
      <c r="G28" s="7">
        <f>G20*$G$10</f>
        <v/>
      </c>
      <c r="H28" s="7">
        <f>H20*$H$10</f>
        <v/>
      </c>
      <c r="I28" s="7">
        <f>I20*$I$10</f>
        <v/>
      </c>
      <c r="J28" s="7">
        <f>J20*$J$10</f>
        <v/>
      </c>
      <c r="K28" s="7">
        <f>K20*$K$10</f>
        <v/>
      </c>
      <c r="L28" s="7">
        <f>L20*$L$10</f>
        <v/>
      </c>
      <c r="M28" s="7">
        <f>M20*$M$10</f>
        <v/>
      </c>
      <c r="N28" s="7">
        <f>N20*$N$10</f>
        <v/>
      </c>
      <c r="O28" s="7">
        <f>O20*$O$10</f>
        <v/>
      </c>
      <c r="P28" s="7">
        <f>P20*$P$10</f>
        <v/>
      </c>
      <c r="Q28" s="7">
        <f>Q20*$Q$10</f>
        <v/>
      </c>
    </row>
    <row r="29">
      <c r="A29" t="inlineStr">
        <is>
          <t>A4</t>
        </is>
      </c>
      <c r="B29" s="4">
        <f>Концепции!$B$7</f>
        <v/>
      </c>
      <c r="C29" s="7">
        <f>C21*$C$10</f>
        <v/>
      </c>
      <c r="D29" s="7">
        <f>D21*$D$10</f>
        <v/>
      </c>
      <c r="E29" s="7">
        <f>E21*$E$10</f>
        <v/>
      </c>
      <c r="F29" s="7">
        <f>F21*$F$10</f>
        <v/>
      </c>
      <c r="G29" s="7">
        <f>G21*$G$10</f>
        <v/>
      </c>
      <c r="H29" s="7">
        <f>H21*$H$10</f>
        <v/>
      </c>
      <c r="I29" s="7">
        <f>I21*$I$10</f>
        <v/>
      </c>
      <c r="J29" s="7">
        <f>J21*$J$10</f>
        <v/>
      </c>
      <c r="K29" s="7">
        <f>K21*$K$10</f>
        <v/>
      </c>
      <c r="L29" s="7">
        <f>L21*$L$10</f>
        <v/>
      </c>
      <c r="M29" s="7">
        <f>M21*$M$10</f>
        <v/>
      </c>
      <c r="N29" s="7">
        <f>N21*$N$10</f>
        <v/>
      </c>
      <c r="O29" s="7">
        <f>O21*$O$10</f>
        <v/>
      </c>
      <c r="P29" s="7">
        <f>P21*$P$10</f>
        <v/>
      </c>
      <c r="Q29" s="7">
        <f>Q21*$Q$10</f>
        <v/>
      </c>
    </row>
    <row r="30">
      <c r="A30" t="inlineStr">
        <is>
          <t>A*</t>
        </is>
      </c>
      <c r="B30" t="inlineStr">
        <is>
          <t>Идеальное решение</t>
        </is>
      </c>
      <c r="C30" s="7">
        <f>MAX(E26:E29)</f>
        <v/>
      </c>
      <c r="D30" s="7">
        <f>MAX(E26:E29)</f>
        <v/>
      </c>
      <c r="E30" s="7">
        <f>MAX(E26:E29)</f>
        <v/>
      </c>
      <c r="F30" s="7">
        <f>MAX(H26:H29)</f>
        <v/>
      </c>
      <c r="G30" s="7">
        <f>MAX(H26:H29)</f>
        <v/>
      </c>
      <c r="H30" s="7">
        <f>MAX(H26:H29)</f>
        <v/>
      </c>
      <c r="I30" s="7">
        <f>MAX(K26:K29)</f>
        <v/>
      </c>
      <c r="J30" s="7">
        <f>MAX(K26:K29)</f>
        <v/>
      </c>
      <c r="K30" s="7">
        <f>MAX(K26:K29)</f>
        <v/>
      </c>
      <c r="L30" s="7">
        <f>MAX(N26:N29)</f>
        <v/>
      </c>
      <c r="M30" s="7">
        <f>MAX(N26:N29)</f>
        <v/>
      </c>
      <c r="N30" s="7">
        <f>MAX(N26:N29)</f>
        <v/>
      </c>
      <c r="O30" s="7">
        <f>MAX(Q26:Q29)</f>
        <v/>
      </c>
      <c r="P30" s="7">
        <f>MAX(Q26:Q29)</f>
        <v/>
      </c>
      <c r="Q30" s="7">
        <f>MAX(Q26:Q29)</f>
        <v/>
      </c>
    </row>
    <row r="31">
      <c r="A31" t="inlineStr">
        <is>
          <t>A⁻</t>
        </is>
      </c>
      <c r="B31" t="inlineStr">
        <is>
          <t>Антиидеальное решение</t>
        </is>
      </c>
      <c r="C31" s="7">
        <f>MIN(C26:C29)</f>
        <v/>
      </c>
      <c r="D31" s="7">
        <f>MIN(C26:C29)</f>
        <v/>
      </c>
      <c r="E31" s="7">
        <f>MIN(C26:C29)</f>
        <v/>
      </c>
      <c r="F31" s="7">
        <f>MIN(F26:F29)</f>
        <v/>
      </c>
      <c r="G31" s="7">
        <f>MIN(F26:F29)</f>
        <v/>
      </c>
      <c r="H31" s="7">
        <f>MIN(F26:F29)</f>
        <v/>
      </c>
      <c r="I31" s="7">
        <f>MIN(I26:I29)</f>
        <v/>
      </c>
      <c r="J31" s="7">
        <f>MIN(I26:I29)</f>
        <v/>
      </c>
      <c r="K31" s="7">
        <f>MIN(I26:I29)</f>
        <v/>
      </c>
      <c r="L31" s="7">
        <f>MIN(L26:L29)</f>
        <v/>
      </c>
      <c r="M31" s="7">
        <f>MIN(L26:L29)</f>
        <v/>
      </c>
      <c r="N31" s="7">
        <f>MIN(L26:L29)</f>
        <v/>
      </c>
      <c r="O31" s="7">
        <f>MIN(O26:O29)</f>
        <v/>
      </c>
      <c r="P31" s="7">
        <f>MIN(O26:O29)</f>
        <v/>
      </c>
      <c r="Q31" s="7">
        <f>MIN(O26:O29)</f>
        <v/>
      </c>
    </row>
    <row r="33">
      <c r="A33" s="2" t="inlineStr">
        <is>
          <t>4. Расстояния до A* и A⁻, коэффициент близости</t>
        </is>
      </c>
    </row>
    <row r="34">
      <c r="B34" s="3" t="inlineStr">
        <is>
          <t>Концепция</t>
        </is>
      </c>
      <c r="C34" s="3" t="inlineStr">
        <is>
          <t>d*(C1)</t>
        </is>
      </c>
      <c r="D34" s="3" t="inlineStr">
        <is>
          <t>d*(C2)</t>
        </is>
      </c>
      <c r="E34" s="3" t="inlineStr">
        <is>
          <t>d*(C3)</t>
        </is>
      </c>
      <c r="F34" s="3" t="inlineStr">
        <is>
          <t>d*(C4)</t>
        </is>
      </c>
      <c r="G34" s="3" t="inlineStr">
        <is>
          <t>d*(C5)</t>
        </is>
      </c>
      <c r="H34" s="3" t="inlineStr">
        <is>
          <t>D*</t>
        </is>
      </c>
      <c r="I34" s="3" t="inlineStr">
        <is>
          <t>d⁻(C1)</t>
        </is>
      </c>
      <c r="J34" s="3" t="inlineStr">
        <is>
          <t>d⁻(C2)</t>
        </is>
      </c>
      <c r="K34" s="3" t="inlineStr">
        <is>
          <t>d⁻(C3)</t>
        </is>
      </c>
      <c r="L34" s="3" t="inlineStr">
        <is>
          <t>d⁻(C4)</t>
        </is>
      </c>
      <c r="M34" s="3" t="inlineStr">
        <is>
          <t>d⁻(C5)</t>
        </is>
      </c>
      <c r="N34" s="3" t="inlineStr">
        <is>
          <t>D⁻</t>
        </is>
      </c>
      <c r="O34" s="3" t="inlineStr">
        <is>
          <t>CC</t>
        </is>
      </c>
      <c r="P34" s="3" t="inlineStr">
        <is>
          <t>Ранг</t>
        </is>
      </c>
    </row>
    <row r="35">
      <c r="A35" t="inlineStr">
        <is>
          <t>A1</t>
        </is>
      </c>
      <c r="B35" s="4">
        <f>Концепции!$B$4</f>
        <v/>
      </c>
      <c r="C35" s="7">
        <f>SQRT(((C26-C$30)^2+(D26-D$30)^2+(E26-E$30)^2)/3)</f>
        <v/>
      </c>
      <c r="D35" s="7">
        <f>SQRT(((F26-F$30)^2+(G26-G$30)^2+(H26-H$30)^2)/3)</f>
        <v/>
      </c>
      <c r="E35" s="7">
        <f>SQRT(((I26-I$30)^2+(J26-J$30)^2+(K26-K$30)^2)/3)</f>
        <v/>
      </c>
      <c r="F35" s="7">
        <f>SQRT(((L26-L$30)^2+(M26-M$30)^2+(N26-N$30)^2)/3)</f>
        <v/>
      </c>
      <c r="G35" s="7">
        <f>SQRT(((O26-O$30)^2+(P26-P$30)^2+(Q26-Q$30)^2)/3)</f>
        <v/>
      </c>
      <c r="H35" s="7">
        <f>SUM(C35:G35)</f>
        <v/>
      </c>
      <c r="I35" s="7">
        <f>SQRT(((C26-C$31)^2+(D26-D$31)^2+(E26-E$31)^2)/3)</f>
        <v/>
      </c>
      <c r="J35" s="7">
        <f>SQRT(((F26-F$31)^2+(G26-G$31)^2+(H26-H$31)^2)/3)</f>
        <v/>
      </c>
      <c r="K35" s="7">
        <f>SQRT(((I26-I$31)^2+(J26-J$31)^2+(K26-K$31)^2)/3)</f>
        <v/>
      </c>
      <c r="L35" s="7">
        <f>SQRT(((L26-L$31)^2+(M26-M$31)^2+(N26-N$31)^2)/3)</f>
        <v/>
      </c>
      <c r="M35" s="7">
        <f>SQRT(((O26-O$31)^2+(P26-P$31)^2+(Q26-Q$31)^2)/3)</f>
        <v/>
      </c>
      <c r="N35" s="7">
        <f>SUM(I35:M35)</f>
        <v/>
      </c>
      <c r="O35" s="9">
        <f>N35/(H35+N35)</f>
        <v/>
      </c>
      <c r="P35" s="10">
        <f>RANK(O35,$O$35:$O$38)</f>
        <v/>
      </c>
    </row>
    <row r="36">
      <c r="A36" t="inlineStr">
        <is>
          <t>A2</t>
        </is>
      </c>
      <c r="B36" s="4">
        <f>Концепции!$B$5</f>
        <v/>
      </c>
      <c r="C36" s="7">
        <f>SQRT(((C27-C$30)^2+(D27-D$30)^2+(E27-E$30)^2)/3)</f>
        <v/>
      </c>
      <c r="D36" s="7">
        <f>SQRT(((F27-F$30)^2+(G27-G$30)^2+(H27-H$30)^2)/3)</f>
        <v/>
      </c>
      <c r="E36" s="7">
        <f>SQRT(((I27-I$30)^2+(J27-J$30)^2+(K27-K$30)^2)/3)</f>
        <v/>
      </c>
      <c r="F36" s="7">
        <f>SQRT(((L27-L$30)^2+(M27-M$30)^2+(N27-N$30)^2)/3)</f>
        <v/>
      </c>
      <c r="G36" s="7">
        <f>SQRT(((O27-O$30)^2+(P27-P$30)^2+(Q27-Q$30)^2)/3)</f>
        <v/>
      </c>
      <c r="H36" s="7">
        <f>SUM(C36:G36)</f>
        <v/>
      </c>
      <c r="I36" s="7">
        <f>SQRT(((C27-C$31)^2+(D27-D$31)^2+(E27-E$31)^2)/3)</f>
        <v/>
      </c>
      <c r="J36" s="7">
        <f>SQRT(((F27-F$31)^2+(G27-G$31)^2+(H27-H$31)^2)/3)</f>
        <v/>
      </c>
      <c r="K36" s="7">
        <f>SQRT(((I27-I$31)^2+(J27-J$31)^2+(K27-K$31)^2)/3)</f>
        <v/>
      </c>
      <c r="L36" s="7">
        <f>SQRT(((L27-L$31)^2+(M27-M$31)^2+(N27-N$31)^2)/3)</f>
        <v/>
      </c>
      <c r="M36" s="7">
        <f>SQRT(((O27-O$31)^2+(P27-P$31)^2+(Q27-Q$31)^2)/3)</f>
        <v/>
      </c>
      <c r="N36" s="7">
        <f>SUM(I36:M36)</f>
        <v/>
      </c>
      <c r="O36" s="9">
        <f>N36/(H36+N36)</f>
        <v/>
      </c>
      <c r="P36" s="10">
        <f>RANK(O36,$O$35:$O$38)</f>
        <v/>
      </c>
    </row>
    <row r="37">
      <c r="A37" t="inlineStr">
        <is>
          <t>A3</t>
        </is>
      </c>
      <c r="B37" s="4">
        <f>Концепции!$B$6</f>
        <v/>
      </c>
      <c r="C37" s="7">
        <f>SQRT(((C28-C$30)^2+(D28-D$30)^2+(E28-E$30)^2)/3)</f>
        <v/>
      </c>
      <c r="D37" s="7">
        <f>SQRT(((F28-F$30)^2+(G28-G$30)^2+(H28-H$30)^2)/3)</f>
        <v/>
      </c>
      <c r="E37" s="7">
        <f>SQRT(((I28-I$30)^2+(J28-J$30)^2+(K28-K$30)^2)/3)</f>
        <v/>
      </c>
      <c r="F37" s="7">
        <f>SQRT(((L28-L$30)^2+(M28-M$30)^2+(N28-N$30)^2)/3)</f>
        <v/>
      </c>
      <c r="G37" s="7">
        <f>SQRT(((O28-O$30)^2+(P28-P$30)^2+(Q28-Q$30)^2)/3)</f>
        <v/>
      </c>
      <c r="H37" s="7">
        <f>SUM(C37:G37)</f>
        <v/>
      </c>
      <c r="I37" s="7">
        <f>SQRT(((C28-C$31)^2+(D28-D$31)^2+(E28-E$31)^2)/3)</f>
        <v/>
      </c>
      <c r="J37" s="7">
        <f>SQRT(((F28-F$31)^2+(G28-G$31)^2+(H28-H$31)^2)/3)</f>
        <v/>
      </c>
      <c r="K37" s="7">
        <f>SQRT(((I28-I$31)^2+(J28-J$31)^2+(K28-K$31)^2)/3)</f>
        <v/>
      </c>
      <c r="L37" s="7">
        <f>SQRT(((L28-L$31)^2+(M28-M$31)^2+(N28-N$31)^2)/3)</f>
        <v/>
      </c>
      <c r="M37" s="7">
        <f>SQRT(((O28-O$31)^2+(P28-P$31)^2+(Q28-Q$31)^2)/3)</f>
        <v/>
      </c>
      <c r="N37" s="7">
        <f>SUM(I37:M37)</f>
        <v/>
      </c>
      <c r="O37" s="9">
        <f>N37/(H37+N37)</f>
        <v/>
      </c>
      <c r="P37" s="10">
        <f>RANK(O37,$O$35:$O$38)</f>
        <v/>
      </c>
    </row>
    <row r="38">
      <c r="A38" t="inlineStr">
        <is>
          <t>A4</t>
        </is>
      </c>
      <c r="B38" s="4">
        <f>Концепции!$B$7</f>
        <v/>
      </c>
      <c r="C38" s="7">
        <f>SQRT(((C29-C$30)^2+(D29-D$30)^2+(E29-E$30)^2)/3)</f>
        <v/>
      </c>
      <c r="D38" s="7">
        <f>SQRT(((F29-F$30)^2+(G29-G$30)^2+(H29-H$30)^2)/3)</f>
        <v/>
      </c>
      <c r="E38" s="7">
        <f>SQRT(((I29-I$30)^2+(J29-J$30)^2+(K29-K$30)^2)/3)</f>
        <v/>
      </c>
      <c r="F38" s="7">
        <f>SQRT(((L29-L$30)^2+(M29-M$30)^2+(N29-N$30)^2)/3)</f>
        <v/>
      </c>
      <c r="G38" s="7">
        <f>SQRT(((O29-O$30)^2+(P29-P$30)^2+(Q29-Q$30)^2)/3)</f>
        <v/>
      </c>
      <c r="H38" s="7">
        <f>SUM(C38:G38)</f>
        <v/>
      </c>
      <c r="I38" s="7">
        <f>SQRT(((C29-C$31)^2+(D29-D$31)^2+(E29-E$31)^2)/3)</f>
        <v/>
      </c>
      <c r="J38" s="7">
        <f>SQRT(((F29-F$31)^2+(G29-G$31)^2+(H29-H$31)^2)/3)</f>
        <v/>
      </c>
      <c r="K38" s="7">
        <f>SQRT(((I29-I$31)^2+(J29-J$31)^2+(K29-K$31)^2)/3)</f>
        <v/>
      </c>
      <c r="L38" s="7">
        <f>SQRT(((L29-L$31)^2+(M29-M$31)^2+(N29-N$31)^2)/3)</f>
        <v/>
      </c>
      <c r="M38" s="7">
        <f>SQRT(((O29-O$31)^2+(P29-P$31)^2+(Q29-Q$31)^2)/3)</f>
        <v/>
      </c>
      <c r="N38" s="7">
        <f>SUM(I38:M38)</f>
        <v/>
      </c>
      <c r="O38" s="9">
        <f>N38/(H38+N38)</f>
        <v/>
      </c>
      <c r="P38" s="10">
        <f>RANK(O38,$O$35:$O$38)</f>
        <v/>
      </c>
    </row>
  </sheetData>
  <mergeCells count="15">
    <mergeCell ref="C16:E16"/>
    <mergeCell ref="I16:K16"/>
    <mergeCell ref="F16:H16"/>
    <mergeCell ref="L16:N16"/>
    <mergeCell ref="I24:K24"/>
    <mergeCell ref="L24:N24"/>
    <mergeCell ref="O24:Q24"/>
    <mergeCell ref="O4:Q4"/>
    <mergeCell ref="C4:E4"/>
    <mergeCell ref="F4:H4"/>
    <mergeCell ref="I4:K4"/>
    <mergeCell ref="L4:N4"/>
    <mergeCell ref="O16:Q16"/>
    <mergeCell ref="F24:H24"/>
    <mergeCell ref="C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МАИ: суждения эксперта 1 (Савелий Хвостов)</t>
        </is>
      </c>
    </row>
    <row r="2">
      <c r="A2" t="inlineStr">
        <is>
          <t>Заполняется только верхний треугольник (жёлтые ячейки): насколько строка лучше/важнее столбца по шкале Саати. Дроби вводить как =1/3.</t>
        </is>
      </c>
    </row>
    <row r="4">
      <c r="A4" s="2" t="inlineStr">
        <is>
          <t>Критерии: парные сравнения важности</t>
        </is>
      </c>
    </row>
    <row r="5">
      <c r="C5" s="3">
        <f>Концепции!$B$11</f>
        <v/>
      </c>
      <c r="D5" s="3">
        <f>Концепции!$B$12</f>
        <v/>
      </c>
      <c r="E5" s="3">
        <f>Концепции!$B$13</f>
        <v/>
      </c>
      <c r="F5" s="3">
        <f>Концепции!$B$14</f>
        <v/>
      </c>
      <c r="G5" s="3">
        <f>Концепции!$B$15</f>
        <v/>
      </c>
      <c r="H5" s="3" t="inlineStr">
        <is>
          <t>Ср. геом.</t>
        </is>
      </c>
      <c r="I5" s="3" t="inlineStr">
        <is>
          <t>Вес</t>
        </is>
      </c>
    </row>
    <row r="6">
      <c r="A6" t="inlineStr">
        <is>
          <t>C1</t>
        </is>
      </c>
      <c r="B6" s="4">
        <f>Концепции!$B$11</f>
        <v/>
      </c>
      <c r="C6" s="7" t="n">
        <v>1</v>
      </c>
      <c r="D6" s="6" t="n">
        <v>5</v>
      </c>
      <c r="E6" s="6" t="n">
        <v>2</v>
      </c>
      <c r="F6" s="6" t="n">
        <v>7</v>
      </c>
      <c r="G6" s="6" t="n">
        <v>3</v>
      </c>
      <c r="H6" s="7">
        <f>PRODUCT(C6:G6)^(1/5)</f>
        <v/>
      </c>
      <c r="I6" s="7">
        <f>H6/SUM($H$6:$H$10)</f>
        <v/>
      </c>
    </row>
    <row r="7">
      <c r="A7" t="inlineStr">
        <is>
          <t>C2</t>
        </is>
      </c>
      <c r="B7" s="4">
        <f>Концепции!$B$12</f>
        <v/>
      </c>
      <c r="C7" s="7">
        <f>1/D6</f>
        <v/>
      </c>
      <c r="D7" s="7" t="n">
        <v>1</v>
      </c>
      <c r="E7" s="6">
        <f>1/6</f>
        <v/>
      </c>
      <c r="F7" s="6">
        <f>1/3</f>
        <v/>
      </c>
      <c r="G7" s="6">
        <f>1/3</f>
        <v/>
      </c>
      <c r="H7" s="7">
        <f>PRODUCT(C7:G7)^(1/5)</f>
        <v/>
      </c>
      <c r="I7" s="7">
        <f>H7/SUM($H$6:$H$10)</f>
        <v/>
      </c>
    </row>
    <row r="8">
      <c r="A8" t="inlineStr">
        <is>
          <t>C3</t>
        </is>
      </c>
      <c r="B8" s="4">
        <f>Концепции!$B$13</f>
        <v/>
      </c>
      <c r="C8" s="7">
        <f>1/E6</f>
        <v/>
      </c>
      <c r="D8" s="7">
        <f>1/E7</f>
        <v/>
      </c>
      <c r="E8" s="7" t="n">
        <v>1</v>
      </c>
      <c r="F8" s="6" t="n">
        <v>2</v>
      </c>
      <c r="G8" s="6" t="n">
        <v>2</v>
      </c>
      <c r="H8" s="7">
        <f>PRODUCT(C8:G8)^(1/5)</f>
        <v/>
      </c>
      <c r="I8" s="7">
        <f>H8/SUM($H$6:$H$10)</f>
        <v/>
      </c>
    </row>
    <row r="9">
      <c r="A9" t="inlineStr">
        <is>
          <t>C4</t>
        </is>
      </c>
      <c r="B9" s="4">
        <f>Концепции!$B$14</f>
        <v/>
      </c>
      <c r="C9" s="7">
        <f>1/F6</f>
        <v/>
      </c>
      <c r="D9" s="7">
        <f>1/F7</f>
        <v/>
      </c>
      <c r="E9" s="7">
        <f>1/F8</f>
        <v/>
      </c>
      <c r="F9" s="7" t="n">
        <v>1</v>
      </c>
      <c r="G9" s="6">
        <f>1/4</f>
        <v/>
      </c>
      <c r="H9" s="7">
        <f>PRODUCT(C9:G9)^(1/5)</f>
        <v/>
      </c>
      <c r="I9" s="7">
        <f>H9/SUM($H$6:$H$10)</f>
        <v/>
      </c>
    </row>
    <row r="10">
      <c r="A10" t="inlineStr">
        <is>
          <t>C5</t>
        </is>
      </c>
      <c r="B10" s="4">
        <f>Концепции!$B$15</f>
        <v/>
      </c>
      <c r="C10" s="7">
        <f>1/G6</f>
        <v/>
      </c>
      <c r="D10" s="7">
        <f>1/G7</f>
        <v/>
      </c>
      <c r="E10" s="7">
        <f>1/G8</f>
        <v/>
      </c>
      <c r="F10" s="7">
        <f>1/G9</f>
        <v/>
      </c>
      <c r="G10" s="7" t="n">
        <v>1</v>
      </c>
      <c r="H10" s="7">
        <f>PRODUCT(C10:G10)^(1/5)</f>
        <v/>
      </c>
      <c r="I10" s="7">
        <f>H10/SUM($H$6:$H$10)</f>
        <v/>
      </c>
    </row>
    <row r="11">
      <c r="B11" t="inlineStr">
        <is>
          <t>Сумма столбца</t>
        </is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</row>
    <row r="12">
      <c r="B12" t="inlineStr">
        <is>
          <t>λmax</t>
        </is>
      </c>
      <c r="C12" s="7">
        <f>C11*I6+D11*I7+E11*I8+F11*I9+G11*I10</f>
        <v/>
      </c>
    </row>
    <row r="13">
      <c r="B13" t="inlineStr">
        <is>
          <t>ИС = (λmax−n)/(n−1)</t>
        </is>
      </c>
      <c r="C13" s="7">
        <f>(C12-5)/(5-1)</f>
        <v/>
      </c>
    </row>
    <row r="14">
      <c r="B14" t="inlineStr">
        <is>
          <t>ОС = ИС / СИ (СИ = 1,12)</t>
        </is>
      </c>
      <c r="C14" s="7">
        <f>C13/1.12</f>
        <v/>
      </c>
      <c r="D14" s="8">
        <f>IF(C14&lt;=0.1,"согласовано","пересмотреть")</f>
        <v/>
      </c>
    </row>
    <row r="18">
      <c r="A18" s="2" t="inlineStr">
        <is>
          <t>Концепции по критерию C1</t>
        </is>
      </c>
      <c r="E18" s="2">
        <f>Концепции!$B$11</f>
        <v/>
      </c>
    </row>
    <row r="19">
      <c r="C19" s="3">
        <f>Концепции!$B$4</f>
        <v/>
      </c>
      <c r="D19" s="3">
        <f>Концепции!$B$5</f>
        <v/>
      </c>
      <c r="E19" s="3">
        <f>Концепции!$B$6</f>
        <v/>
      </c>
      <c r="F19" s="3">
        <f>Концепции!$B$7</f>
        <v/>
      </c>
      <c r="G19" s="3" t="inlineStr">
        <is>
          <t>Ср. геом.</t>
        </is>
      </c>
      <c r="H19" s="3" t="inlineStr">
        <is>
          <t>Вес</t>
        </is>
      </c>
    </row>
    <row r="20">
      <c r="A20" t="inlineStr">
        <is>
          <t>A1</t>
        </is>
      </c>
      <c r="B20" s="4">
        <f>Концепции!$B$4</f>
        <v/>
      </c>
      <c r="C20" s="7" t="n">
        <v>1</v>
      </c>
      <c r="D20" s="6" t="n">
        <v>3</v>
      </c>
      <c r="E20" s="6" t="n">
        <v>5</v>
      </c>
      <c r="F20" s="6" t="n">
        <v>2</v>
      </c>
      <c r="G20" s="7">
        <f>PRODUCT(C20:F20)^(1/4)</f>
        <v/>
      </c>
      <c r="H20" s="7">
        <f>G20/SUM($G$20:$G$23)</f>
        <v/>
      </c>
    </row>
    <row r="21">
      <c r="A21" t="inlineStr">
        <is>
          <t>A2</t>
        </is>
      </c>
      <c r="B21" s="4">
        <f>Концепции!$B$5</f>
        <v/>
      </c>
      <c r="C21" s="7">
        <f>1/D20</f>
        <v/>
      </c>
      <c r="D21" s="7" t="n">
        <v>1</v>
      </c>
      <c r="E21" s="6" t="n">
        <v>2</v>
      </c>
      <c r="F21" s="6" t="n">
        <v>2</v>
      </c>
      <c r="G21" s="7">
        <f>PRODUCT(C21:F21)^(1/4)</f>
        <v/>
      </c>
      <c r="H21" s="7">
        <f>G21/SUM($G$20:$G$23)</f>
        <v/>
      </c>
    </row>
    <row r="22">
      <c r="A22" t="inlineStr">
        <is>
          <t>A3</t>
        </is>
      </c>
      <c r="B22" s="4">
        <f>Концепции!$B$6</f>
        <v/>
      </c>
      <c r="C22" s="7">
        <f>1/E20</f>
        <v/>
      </c>
      <c r="D22" s="7">
        <f>1/E21</f>
        <v/>
      </c>
      <c r="E22" s="7" t="n">
        <v>1</v>
      </c>
      <c r="F22" s="6">
        <f>1/5</f>
        <v/>
      </c>
      <c r="G22" s="7">
        <f>PRODUCT(C22:F22)^(1/4)</f>
        <v/>
      </c>
      <c r="H22" s="7">
        <f>G22/SUM($G$20:$G$23)</f>
        <v/>
      </c>
    </row>
    <row r="23">
      <c r="A23" t="inlineStr">
        <is>
          <t>A4</t>
        </is>
      </c>
      <c r="B23" s="4">
        <f>Концепции!$B$7</f>
        <v/>
      </c>
      <c r="C23" s="7">
        <f>1/F20</f>
        <v/>
      </c>
      <c r="D23" s="7">
        <f>1/F21</f>
        <v/>
      </c>
      <c r="E23" s="7">
        <f>1/F22</f>
        <v/>
      </c>
      <c r="F23" s="7" t="n">
        <v>1</v>
      </c>
      <c r="G23" s="7">
        <f>PRODUCT(C23:F23)^(1/4)</f>
        <v/>
      </c>
      <c r="H23" s="7">
        <f>G23/SUM($G$20:$G$23)</f>
        <v/>
      </c>
    </row>
    <row r="24">
      <c r="B24" t="inlineStr">
        <is>
          <t>Сумма столбца</t>
        </is>
      </c>
      <c r="C24" s="7">
        <f>SUM(C20:C23)</f>
        <v/>
      </c>
      <c r="D24" s="7">
        <f>SUM(D20:D23)</f>
        <v/>
      </c>
      <c r="E24" s="7">
        <f>SUM(E20:E23)</f>
        <v/>
      </c>
      <c r="F24" s="7">
        <f>SUM(F20:F23)</f>
        <v/>
      </c>
    </row>
    <row r="25">
      <c r="B25" t="inlineStr">
        <is>
          <t>λmax</t>
        </is>
      </c>
      <c r="C25" s="7">
        <f>C24*H20+D24*H21+E24*H22+F24*H23</f>
        <v/>
      </c>
    </row>
    <row r="26">
      <c r="B26" t="inlineStr">
        <is>
          <t>ИС = (λmax−n)/(n−1)</t>
        </is>
      </c>
      <c r="C26" s="7">
        <f>(C25-4)/(4-1)</f>
        <v/>
      </c>
    </row>
    <row r="27">
      <c r="B27" t="inlineStr">
        <is>
          <t>ОС = ИС / СИ (СИ = 0,90)</t>
        </is>
      </c>
      <c r="C27" s="7">
        <f>C26/0.9</f>
        <v/>
      </c>
      <c r="D27" s="8">
        <f>IF(C27&lt;=0.1,"согласовано","пересмотреть")</f>
        <v/>
      </c>
    </row>
    <row r="32">
      <c r="A32" s="2" t="inlineStr">
        <is>
          <t>Концепции по критерию C2</t>
        </is>
      </c>
      <c r="E32" s="2">
        <f>Концепции!$B$12</f>
        <v/>
      </c>
    </row>
    <row r="33">
      <c r="C33" s="3">
        <f>Концепции!$B$4</f>
        <v/>
      </c>
      <c r="D33" s="3">
        <f>Концепции!$B$5</f>
        <v/>
      </c>
      <c r="E33" s="3">
        <f>Концепции!$B$6</f>
        <v/>
      </c>
      <c r="F33" s="3">
        <f>Концепции!$B$7</f>
        <v/>
      </c>
      <c r="G33" s="3" t="inlineStr">
        <is>
          <t>Ср. геом.</t>
        </is>
      </c>
      <c r="H33" s="3" t="inlineStr">
        <is>
          <t>Вес</t>
        </is>
      </c>
    </row>
    <row r="34">
      <c r="A34" t="inlineStr">
        <is>
          <t>A1</t>
        </is>
      </c>
      <c r="B34" s="4">
        <f>Концепции!$B$4</f>
        <v/>
      </c>
      <c r="C34" s="7" t="n">
        <v>1</v>
      </c>
      <c r="D34" s="6" t="n">
        <v>5</v>
      </c>
      <c r="E34" s="6" t="n">
        <v>1</v>
      </c>
      <c r="F34" s="6">
        <f>1/4</f>
        <v/>
      </c>
      <c r="G34" s="7">
        <f>PRODUCT(C34:F34)^(1/4)</f>
        <v/>
      </c>
      <c r="H34" s="7">
        <f>G34/SUM($G$34:$G$37)</f>
        <v/>
      </c>
    </row>
    <row r="35">
      <c r="A35" t="inlineStr">
        <is>
          <t>A2</t>
        </is>
      </c>
      <c r="B35" s="4">
        <f>Концепции!$B$5</f>
        <v/>
      </c>
      <c r="C35" s="7">
        <f>1/D34</f>
        <v/>
      </c>
      <c r="D35" s="7" t="n">
        <v>1</v>
      </c>
      <c r="E35" s="6">
        <f>1/4</f>
        <v/>
      </c>
      <c r="F35" s="6">
        <f>1/5</f>
        <v/>
      </c>
      <c r="G35" s="7">
        <f>PRODUCT(C35:F35)^(1/4)</f>
        <v/>
      </c>
      <c r="H35" s="7">
        <f>G35/SUM($G$34:$G$37)</f>
        <v/>
      </c>
    </row>
    <row r="36">
      <c r="A36" t="inlineStr">
        <is>
          <t>A3</t>
        </is>
      </c>
      <c r="B36" s="4">
        <f>Концепции!$B$6</f>
        <v/>
      </c>
      <c r="C36" s="7">
        <f>1/E34</f>
        <v/>
      </c>
      <c r="D36" s="7">
        <f>1/E35</f>
        <v/>
      </c>
      <c r="E36" s="7" t="n">
        <v>1</v>
      </c>
      <c r="F36" s="6">
        <f>1/5</f>
        <v/>
      </c>
      <c r="G36" s="7">
        <f>PRODUCT(C36:F36)^(1/4)</f>
        <v/>
      </c>
      <c r="H36" s="7">
        <f>G36/SUM($G$34:$G$37)</f>
        <v/>
      </c>
    </row>
    <row r="37">
      <c r="A37" t="inlineStr">
        <is>
          <t>A4</t>
        </is>
      </c>
      <c r="B37" s="4">
        <f>Концепции!$B$7</f>
        <v/>
      </c>
      <c r="C37" s="7">
        <f>1/F34</f>
        <v/>
      </c>
      <c r="D37" s="7">
        <f>1/F35</f>
        <v/>
      </c>
      <c r="E37" s="7">
        <f>1/F36</f>
        <v/>
      </c>
      <c r="F37" s="7" t="n">
        <v>1</v>
      </c>
      <c r="G37" s="7">
        <f>PRODUCT(C37:F37)^(1/4)</f>
        <v/>
      </c>
      <c r="H37" s="7">
        <f>G37/SUM($G$34:$G$37)</f>
        <v/>
      </c>
    </row>
    <row r="38">
      <c r="B38" t="inlineStr">
        <is>
          <t>Сумма столбца</t>
        </is>
      </c>
      <c r="C38" s="7">
        <f>SUM(C34:C37)</f>
        <v/>
      </c>
      <c r="D38" s="7">
        <f>SUM(D34:D37)</f>
        <v/>
      </c>
      <c r="E38" s="7">
        <f>SUM(E34:E37)</f>
        <v/>
      </c>
      <c r="F38" s="7">
        <f>SUM(F34:F37)</f>
        <v/>
      </c>
    </row>
    <row r="39">
      <c r="B39" t="inlineStr">
        <is>
          <t>λmax</t>
        </is>
      </c>
      <c r="C39" s="7">
        <f>C38*H34+D38*H35+E38*H36+F38*H37</f>
        <v/>
      </c>
    </row>
    <row r="40">
      <c r="B40" t="inlineStr">
        <is>
          <t>ИС = (λmax−n)/(n−1)</t>
        </is>
      </c>
      <c r="C40" s="7">
        <f>(C39-4)/(4-1)</f>
        <v/>
      </c>
    </row>
    <row r="41">
      <c r="B41" t="inlineStr">
        <is>
          <t>ОС = ИС / СИ (СИ = 0,90)</t>
        </is>
      </c>
      <c r="C41" s="7">
        <f>C40/0.9</f>
        <v/>
      </c>
      <c r="D41" s="8">
        <f>IF(C41&lt;=0.1,"согласовано","пересмотреть")</f>
        <v/>
      </c>
    </row>
    <row r="46">
      <c r="A46" s="2" t="inlineStr">
        <is>
          <t>Концепции по критерию C3</t>
        </is>
      </c>
      <c r="E46" s="2">
        <f>Концепции!$B$13</f>
        <v/>
      </c>
    </row>
    <row r="47">
      <c r="C47" s="3">
        <f>Концепции!$B$4</f>
        <v/>
      </c>
      <c r="D47" s="3">
        <f>Концепции!$B$5</f>
        <v/>
      </c>
      <c r="E47" s="3">
        <f>Концепции!$B$6</f>
        <v/>
      </c>
      <c r="F47" s="3">
        <f>Концепции!$B$7</f>
        <v/>
      </c>
      <c r="G47" s="3" t="inlineStr">
        <is>
          <t>Ср. геом.</t>
        </is>
      </c>
      <c r="H47" s="3" t="inlineStr">
        <is>
          <t>Вес</t>
        </is>
      </c>
    </row>
    <row r="48">
      <c r="A48" t="inlineStr">
        <is>
          <t>A1</t>
        </is>
      </c>
      <c r="B48" s="4">
        <f>Концепции!$B$4</f>
        <v/>
      </c>
      <c r="C48" s="7" t="n">
        <v>1</v>
      </c>
      <c r="D48" s="6" t="n">
        <v>5</v>
      </c>
      <c r="E48" s="6">
        <f>1/4</f>
        <v/>
      </c>
      <c r="F48" s="6">
        <f>1/6</f>
        <v/>
      </c>
      <c r="G48" s="7">
        <f>PRODUCT(C48:F48)^(1/4)</f>
        <v/>
      </c>
      <c r="H48" s="7">
        <f>G48/SUM($G$48:$G$51)</f>
        <v/>
      </c>
    </row>
    <row r="49">
      <c r="A49" t="inlineStr">
        <is>
          <t>A2</t>
        </is>
      </c>
      <c r="B49" s="4">
        <f>Концепции!$B$5</f>
        <v/>
      </c>
      <c r="C49" s="7">
        <f>1/D48</f>
        <v/>
      </c>
      <c r="D49" s="7" t="n">
        <v>1</v>
      </c>
      <c r="E49" s="6">
        <f>1/7</f>
        <v/>
      </c>
      <c r="F49" s="6">
        <f>1/6</f>
        <v/>
      </c>
      <c r="G49" s="7">
        <f>PRODUCT(C49:F49)^(1/4)</f>
        <v/>
      </c>
      <c r="H49" s="7">
        <f>G49/SUM($G$48:$G$51)</f>
        <v/>
      </c>
    </row>
    <row r="50">
      <c r="A50" t="inlineStr">
        <is>
          <t>A3</t>
        </is>
      </c>
      <c r="B50" s="4">
        <f>Концепции!$B$6</f>
        <v/>
      </c>
      <c r="C50" s="7">
        <f>1/E48</f>
        <v/>
      </c>
      <c r="D50" s="7">
        <f>1/E49</f>
        <v/>
      </c>
      <c r="E50" s="7" t="n">
        <v>1</v>
      </c>
      <c r="F50" s="6">
        <f>1/2</f>
        <v/>
      </c>
      <c r="G50" s="7">
        <f>PRODUCT(C50:F50)^(1/4)</f>
        <v/>
      </c>
      <c r="H50" s="7">
        <f>G50/SUM($G$48:$G$51)</f>
        <v/>
      </c>
    </row>
    <row r="51">
      <c r="A51" t="inlineStr">
        <is>
          <t>A4</t>
        </is>
      </c>
      <c r="B51" s="4">
        <f>Концепции!$B$7</f>
        <v/>
      </c>
      <c r="C51" s="7">
        <f>1/F48</f>
        <v/>
      </c>
      <c r="D51" s="7">
        <f>1/F49</f>
        <v/>
      </c>
      <c r="E51" s="7">
        <f>1/F50</f>
        <v/>
      </c>
      <c r="F51" s="7" t="n">
        <v>1</v>
      </c>
      <c r="G51" s="7">
        <f>PRODUCT(C51:F51)^(1/4)</f>
        <v/>
      </c>
      <c r="H51" s="7">
        <f>G51/SUM($G$48:$G$51)</f>
        <v/>
      </c>
    </row>
    <row r="52">
      <c r="B52" t="inlineStr">
        <is>
          <t>Сумма столбца</t>
        </is>
      </c>
      <c r="C52" s="7">
        <f>SUM(C48:C51)</f>
        <v/>
      </c>
      <c r="D52" s="7">
        <f>SUM(D48:D51)</f>
        <v/>
      </c>
      <c r="E52" s="7">
        <f>SUM(E48:E51)</f>
        <v/>
      </c>
      <c r="F52" s="7">
        <f>SUM(F48:F51)</f>
        <v/>
      </c>
    </row>
    <row r="53">
      <c r="B53" t="inlineStr">
        <is>
          <t>λmax</t>
        </is>
      </c>
      <c r="C53" s="7">
        <f>C52*H48+D52*H49+E52*H50+F52*H51</f>
        <v/>
      </c>
    </row>
    <row r="54">
      <c r="B54" t="inlineStr">
        <is>
          <t>ИС = (λmax−n)/(n−1)</t>
        </is>
      </c>
      <c r="C54" s="7">
        <f>(C53-4)/(4-1)</f>
        <v/>
      </c>
    </row>
    <row r="55">
      <c r="B55" t="inlineStr">
        <is>
          <t>ОС = ИС / СИ (СИ = 0,90)</t>
        </is>
      </c>
      <c r="C55" s="7">
        <f>C54/0.9</f>
        <v/>
      </c>
      <c r="D55" s="8">
        <f>IF(C55&lt;=0.1,"согласовано","пересмотреть")</f>
        <v/>
      </c>
    </row>
    <row r="60">
      <c r="A60" s="2" t="inlineStr">
        <is>
          <t>Концепции по критерию C4</t>
        </is>
      </c>
      <c r="E60" s="2">
        <f>Концепции!$B$14</f>
        <v/>
      </c>
    </row>
    <row r="61">
      <c r="C61" s="3">
        <f>Концепции!$B$4</f>
        <v/>
      </c>
      <c r="D61" s="3">
        <f>Концепции!$B$5</f>
        <v/>
      </c>
      <c r="E61" s="3">
        <f>Концепции!$B$6</f>
        <v/>
      </c>
      <c r="F61" s="3">
        <f>Концепции!$B$7</f>
        <v/>
      </c>
      <c r="G61" s="3" t="inlineStr">
        <is>
          <t>Ср. геом.</t>
        </is>
      </c>
      <c r="H61" s="3" t="inlineStr">
        <is>
          <t>Вес</t>
        </is>
      </c>
    </row>
    <row r="62">
      <c r="A62" t="inlineStr">
        <is>
          <t>A1</t>
        </is>
      </c>
      <c r="B62" s="4">
        <f>Концепции!$B$4</f>
        <v/>
      </c>
      <c r="C62" s="7" t="n">
        <v>1</v>
      </c>
      <c r="D62" s="6" t="n">
        <v>7</v>
      </c>
      <c r="E62" s="6" t="n">
        <v>1</v>
      </c>
      <c r="F62" s="6">
        <f>1/4</f>
        <v/>
      </c>
      <c r="G62" s="7">
        <f>PRODUCT(C62:F62)^(1/4)</f>
        <v/>
      </c>
      <c r="H62" s="7">
        <f>G62/SUM($G$62:$G$65)</f>
        <v/>
      </c>
    </row>
    <row r="63">
      <c r="A63" t="inlineStr">
        <is>
          <t>A2</t>
        </is>
      </c>
      <c r="B63" s="4">
        <f>Концепции!$B$5</f>
        <v/>
      </c>
      <c r="C63" s="7">
        <f>1/D62</f>
        <v/>
      </c>
      <c r="D63" s="7" t="n">
        <v>1</v>
      </c>
      <c r="E63" s="6">
        <f>1/9</f>
        <v/>
      </c>
      <c r="F63" s="6">
        <f>1/9</f>
        <v/>
      </c>
      <c r="G63" s="7">
        <f>PRODUCT(C63:F63)^(1/4)</f>
        <v/>
      </c>
      <c r="H63" s="7">
        <f>G63/SUM($G$62:$G$65)</f>
        <v/>
      </c>
    </row>
    <row r="64">
      <c r="A64" t="inlineStr">
        <is>
          <t>A3</t>
        </is>
      </c>
      <c r="B64" s="4">
        <f>Концепции!$B$6</f>
        <v/>
      </c>
      <c r="C64" s="7">
        <f>1/E62</f>
        <v/>
      </c>
      <c r="D64" s="7">
        <f>1/E63</f>
        <v/>
      </c>
      <c r="E64" s="7" t="n">
        <v>1</v>
      </c>
      <c r="F64" s="6" t="n">
        <v>1</v>
      </c>
      <c r="G64" s="7">
        <f>PRODUCT(C64:F64)^(1/4)</f>
        <v/>
      </c>
      <c r="H64" s="7">
        <f>G64/SUM($G$62:$G$65)</f>
        <v/>
      </c>
    </row>
    <row r="65">
      <c r="A65" t="inlineStr">
        <is>
          <t>A4</t>
        </is>
      </c>
      <c r="B65" s="4">
        <f>Концепции!$B$7</f>
        <v/>
      </c>
      <c r="C65" s="7">
        <f>1/F62</f>
        <v/>
      </c>
      <c r="D65" s="7">
        <f>1/F63</f>
        <v/>
      </c>
      <c r="E65" s="7">
        <f>1/F64</f>
        <v/>
      </c>
      <c r="F65" s="7" t="n">
        <v>1</v>
      </c>
      <c r="G65" s="7">
        <f>PRODUCT(C65:F65)^(1/4)</f>
        <v/>
      </c>
      <c r="H65" s="7">
        <f>G65/SUM($G$62:$G$65)</f>
        <v/>
      </c>
    </row>
    <row r="66">
      <c r="B66" t="inlineStr">
        <is>
          <t>Сумма столбца</t>
        </is>
      </c>
      <c r="C66" s="7">
        <f>SUM(C62:C65)</f>
        <v/>
      </c>
      <c r="D66" s="7">
        <f>SUM(D62:D65)</f>
        <v/>
      </c>
      <c r="E66" s="7">
        <f>SUM(E62:E65)</f>
        <v/>
      </c>
      <c r="F66" s="7">
        <f>SUM(F62:F65)</f>
        <v/>
      </c>
    </row>
    <row r="67">
      <c r="B67" t="inlineStr">
        <is>
          <t>λmax</t>
        </is>
      </c>
      <c r="C67" s="7">
        <f>C66*H62+D66*H63+E66*H64+F66*H65</f>
        <v/>
      </c>
    </row>
    <row r="68">
      <c r="B68" t="inlineStr">
        <is>
          <t>ИС = (λmax−n)/(n−1)</t>
        </is>
      </c>
      <c r="C68" s="7">
        <f>(C67-4)/(4-1)</f>
        <v/>
      </c>
    </row>
    <row r="69">
      <c r="B69" t="inlineStr">
        <is>
          <t>ОС = ИС / СИ (СИ = 0,90)</t>
        </is>
      </c>
      <c r="C69" s="7">
        <f>C68/0.9</f>
        <v/>
      </c>
      <c r="D69" s="8">
        <f>IF(C69&lt;=0.1,"согласовано","пересмотреть")</f>
        <v/>
      </c>
    </row>
    <row r="74">
      <c r="A74" s="2" t="inlineStr">
        <is>
          <t>Концепции по критерию C5</t>
        </is>
      </c>
      <c r="E74" s="2">
        <f>Концепции!$B$15</f>
        <v/>
      </c>
    </row>
    <row r="75">
      <c r="C75" s="3">
        <f>Концепции!$B$4</f>
        <v/>
      </c>
      <c r="D75" s="3">
        <f>Концепции!$B$5</f>
        <v/>
      </c>
      <c r="E75" s="3">
        <f>Концепции!$B$6</f>
        <v/>
      </c>
      <c r="F75" s="3">
        <f>Концепции!$B$7</f>
        <v/>
      </c>
      <c r="G75" s="3" t="inlineStr">
        <is>
          <t>Ср. геом.</t>
        </is>
      </c>
      <c r="H75" s="3" t="inlineStr">
        <is>
          <t>Вес</t>
        </is>
      </c>
    </row>
    <row r="76">
      <c r="A76" t="inlineStr">
        <is>
          <t>A1</t>
        </is>
      </c>
      <c r="B76" s="4">
        <f>Концепции!$B$4</f>
        <v/>
      </c>
      <c r="C76" s="7" t="n">
        <v>1</v>
      </c>
      <c r="D76" s="6" t="n">
        <v>4</v>
      </c>
      <c r="E76" s="6">
        <f>1/4</f>
        <v/>
      </c>
      <c r="F76" s="6">
        <f>1/7</f>
        <v/>
      </c>
      <c r="G76" s="7">
        <f>PRODUCT(C76:F76)^(1/4)</f>
        <v/>
      </c>
      <c r="H76" s="7">
        <f>G76/SUM($G$76:$G$79)</f>
        <v/>
      </c>
    </row>
    <row r="77">
      <c r="A77" t="inlineStr">
        <is>
          <t>A2</t>
        </is>
      </c>
      <c r="B77" s="4">
        <f>Концепции!$B$5</f>
        <v/>
      </c>
      <c r="C77" s="7">
        <f>1/D76</f>
        <v/>
      </c>
      <c r="D77" s="7" t="n">
        <v>1</v>
      </c>
      <c r="E77" s="6">
        <f>1/4</f>
        <v/>
      </c>
      <c r="F77" s="6">
        <f>1/6</f>
        <v/>
      </c>
      <c r="G77" s="7">
        <f>PRODUCT(C77:F77)^(1/4)</f>
        <v/>
      </c>
      <c r="H77" s="7">
        <f>G77/SUM($G$76:$G$79)</f>
        <v/>
      </c>
    </row>
    <row r="78">
      <c r="A78" t="inlineStr">
        <is>
          <t>A3</t>
        </is>
      </c>
      <c r="B78" s="4">
        <f>Концепции!$B$6</f>
        <v/>
      </c>
      <c r="C78" s="7">
        <f>1/E76</f>
        <v/>
      </c>
      <c r="D78" s="7">
        <f>1/E77</f>
        <v/>
      </c>
      <c r="E78" s="7" t="n">
        <v>1</v>
      </c>
      <c r="F78" s="6">
        <f>1/3</f>
        <v/>
      </c>
      <c r="G78" s="7">
        <f>PRODUCT(C78:F78)^(1/4)</f>
        <v/>
      </c>
      <c r="H78" s="7">
        <f>G78/SUM($G$76:$G$79)</f>
        <v/>
      </c>
    </row>
    <row r="79">
      <c r="A79" t="inlineStr">
        <is>
          <t>A4</t>
        </is>
      </c>
      <c r="B79" s="4">
        <f>Концепции!$B$7</f>
        <v/>
      </c>
      <c r="C79" s="7">
        <f>1/F76</f>
        <v/>
      </c>
      <c r="D79" s="7">
        <f>1/F77</f>
        <v/>
      </c>
      <c r="E79" s="7">
        <f>1/F78</f>
        <v/>
      </c>
      <c r="F79" s="7" t="n">
        <v>1</v>
      </c>
      <c r="G79" s="7">
        <f>PRODUCT(C79:F79)^(1/4)</f>
        <v/>
      </c>
      <c r="H79" s="7">
        <f>G79/SUM($G$76:$G$79)</f>
        <v/>
      </c>
    </row>
    <row r="80">
      <c r="B80" t="inlineStr">
        <is>
          <t>Сумма столбца</t>
        </is>
      </c>
      <c r="C80" s="7">
        <f>SUM(C76:C79)</f>
        <v/>
      </c>
      <c r="D80" s="7">
        <f>SUM(D76:D79)</f>
        <v/>
      </c>
      <c r="E80" s="7">
        <f>SUM(E76:E79)</f>
        <v/>
      </c>
      <c r="F80" s="7">
        <f>SUM(F76:F79)</f>
        <v/>
      </c>
    </row>
    <row r="81">
      <c r="B81" t="inlineStr">
        <is>
          <t>λmax</t>
        </is>
      </c>
      <c r="C81" s="7">
        <f>C80*H76+D80*H77+E80*H78+F80*H79</f>
        <v/>
      </c>
    </row>
    <row r="82">
      <c r="B82" t="inlineStr">
        <is>
          <t>ИС = (λmax−n)/(n−1)</t>
        </is>
      </c>
      <c r="C82" s="7">
        <f>(C81-4)/(4-1)</f>
        <v/>
      </c>
    </row>
    <row r="83">
      <c r="B83" t="inlineStr">
        <is>
          <t>ОС = ИС / СИ (СИ = 0,90)</t>
        </is>
      </c>
      <c r="C83" s="7">
        <f>C82/0.9</f>
        <v/>
      </c>
      <c r="D83" s="8">
        <f>IF(C83&lt;=0.1,"согласовано","пересмотреть")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МАИ: суждения эксперта 2 (Екатерина Козлова)</t>
        </is>
      </c>
    </row>
    <row r="2">
      <c r="A2" t="inlineStr">
        <is>
          <t>Заполняется только верхний треугольник (жёлтые ячейки): насколько строка лучше/важнее столбца по шкале Саати. Дроби вводить как =1/3.</t>
        </is>
      </c>
    </row>
    <row r="4">
      <c r="A4" s="2" t="inlineStr">
        <is>
          <t>Критерии: парные сравнения важности</t>
        </is>
      </c>
    </row>
    <row r="5">
      <c r="C5" s="3">
        <f>Концепции!$B$11</f>
        <v/>
      </c>
      <c r="D5" s="3">
        <f>Концепции!$B$12</f>
        <v/>
      </c>
      <c r="E5" s="3">
        <f>Концепции!$B$13</f>
        <v/>
      </c>
      <c r="F5" s="3">
        <f>Концепции!$B$14</f>
        <v/>
      </c>
      <c r="G5" s="3">
        <f>Концепции!$B$15</f>
        <v/>
      </c>
      <c r="H5" s="3" t="inlineStr">
        <is>
          <t>Ср. геом.</t>
        </is>
      </c>
      <c r="I5" s="3" t="inlineStr">
        <is>
          <t>Вес</t>
        </is>
      </c>
    </row>
    <row r="6">
      <c r="A6" t="inlineStr">
        <is>
          <t>C1</t>
        </is>
      </c>
      <c r="B6" s="4">
        <f>Концепции!$B$11</f>
        <v/>
      </c>
      <c r="C6" s="7" t="n">
        <v>1</v>
      </c>
      <c r="D6" s="6" t="n">
        <v>7</v>
      </c>
      <c r="E6" s="6" t="n">
        <v>5</v>
      </c>
      <c r="F6" s="6" t="n">
        <v>7</v>
      </c>
      <c r="G6" s="6" t="n">
        <v>3</v>
      </c>
      <c r="H6" s="7">
        <f>PRODUCT(C6:G6)^(1/5)</f>
        <v/>
      </c>
      <c r="I6" s="7">
        <f>H6/SUM($H$6:$H$10)</f>
        <v/>
      </c>
    </row>
    <row r="7">
      <c r="A7" t="inlineStr">
        <is>
          <t>C2</t>
        </is>
      </c>
      <c r="B7" s="4">
        <f>Концепции!$B$12</f>
        <v/>
      </c>
      <c r="C7" s="7">
        <f>1/D6</f>
        <v/>
      </c>
      <c r="D7" s="7" t="n">
        <v>1</v>
      </c>
      <c r="E7" s="6">
        <f>1/4</f>
        <v/>
      </c>
      <c r="F7" s="6" t="n">
        <v>3</v>
      </c>
      <c r="G7" s="6">
        <f>1/6</f>
        <v/>
      </c>
      <c r="H7" s="7">
        <f>PRODUCT(C7:G7)^(1/5)</f>
        <v/>
      </c>
      <c r="I7" s="7">
        <f>H7/SUM($H$6:$H$10)</f>
        <v/>
      </c>
    </row>
    <row r="8">
      <c r="A8" t="inlineStr">
        <is>
          <t>C3</t>
        </is>
      </c>
      <c r="B8" s="4">
        <f>Концепции!$B$13</f>
        <v/>
      </c>
      <c r="C8" s="7">
        <f>1/E6</f>
        <v/>
      </c>
      <c r="D8" s="7">
        <f>1/E7</f>
        <v/>
      </c>
      <c r="E8" s="7" t="n">
        <v>1</v>
      </c>
      <c r="F8" s="6" t="n">
        <v>3</v>
      </c>
      <c r="G8" s="6">
        <f>1/4</f>
        <v/>
      </c>
      <c r="H8" s="7">
        <f>PRODUCT(C8:G8)^(1/5)</f>
        <v/>
      </c>
      <c r="I8" s="7">
        <f>H8/SUM($H$6:$H$10)</f>
        <v/>
      </c>
    </row>
    <row r="9">
      <c r="A9" t="inlineStr">
        <is>
          <t>C4</t>
        </is>
      </c>
      <c r="B9" s="4">
        <f>Концепции!$B$14</f>
        <v/>
      </c>
      <c r="C9" s="7">
        <f>1/F6</f>
        <v/>
      </c>
      <c r="D9" s="7">
        <f>1/F7</f>
        <v/>
      </c>
      <c r="E9" s="7">
        <f>1/F8</f>
        <v/>
      </c>
      <c r="F9" s="7" t="n">
        <v>1</v>
      </c>
      <c r="G9" s="6">
        <f>1/6</f>
        <v/>
      </c>
      <c r="H9" s="7">
        <f>PRODUCT(C9:G9)^(1/5)</f>
        <v/>
      </c>
      <c r="I9" s="7">
        <f>H9/SUM($H$6:$H$10)</f>
        <v/>
      </c>
    </row>
    <row r="10">
      <c r="A10" t="inlineStr">
        <is>
          <t>C5</t>
        </is>
      </c>
      <c r="B10" s="4">
        <f>Концепции!$B$15</f>
        <v/>
      </c>
      <c r="C10" s="7">
        <f>1/G6</f>
        <v/>
      </c>
      <c r="D10" s="7">
        <f>1/G7</f>
        <v/>
      </c>
      <c r="E10" s="7">
        <f>1/G8</f>
        <v/>
      </c>
      <c r="F10" s="7">
        <f>1/G9</f>
        <v/>
      </c>
      <c r="G10" s="7" t="n">
        <v>1</v>
      </c>
      <c r="H10" s="7">
        <f>PRODUCT(C10:G10)^(1/5)</f>
        <v/>
      </c>
      <c r="I10" s="7">
        <f>H10/SUM($H$6:$H$10)</f>
        <v/>
      </c>
    </row>
    <row r="11">
      <c r="B11" t="inlineStr">
        <is>
          <t>Сумма столбца</t>
        </is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</row>
    <row r="12">
      <c r="B12" t="inlineStr">
        <is>
          <t>λmax</t>
        </is>
      </c>
      <c r="C12" s="7">
        <f>C11*I6+D11*I7+E11*I8+F11*I9+G11*I10</f>
        <v/>
      </c>
    </row>
    <row r="13">
      <c r="B13" t="inlineStr">
        <is>
          <t>ИС = (λmax−n)/(n−1)</t>
        </is>
      </c>
      <c r="C13" s="7">
        <f>(C12-5)/(5-1)</f>
        <v/>
      </c>
    </row>
    <row r="14">
      <c r="B14" t="inlineStr">
        <is>
          <t>ОС = ИС / СИ (СИ = 1,12)</t>
        </is>
      </c>
      <c r="C14" s="7">
        <f>C13/1.12</f>
        <v/>
      </c>
      <c r="D14" s="8">
        <f>IF(C14&lt;=0.1,"согласовано","пересмотреть")</f>
        <v/>
      </c>
    </row>
    <row r="18">
      <c r="A18" s="2" t="inlineStr">
        <is>
          <t>Концепции по критерию C1</t>
        </is>
      </c>
      <c r="E18" s="2">
        <f>Концепции!$B$11</f>
        <v/>
      </c>
    </row>
    <row r="19">
      <c r="C19" s="3">
        <f>Концепции!$B$4</f>
        <v/>
      </c>
      <c r="D19" s="3">
        <f>Концепции!$B$5</f>
        <v/>
      </c>
      <c r="E19" s="3">
        <f>Концепции!$B$6</f>
        <v/>
      </c>
      <c r="F19" s="3">
        <f>Концепции!$B$7</f>
        <v/>
      </c>
      <c r="G19" s="3" t="inlineStr">
        <is>
          <t>Ср. геом.</t>
        </is>
      </c>
      <c r="H19" s="3" t="inlineStr">
        <is>
          <t>Вес</t>
        </is>
      </c>
    </row>
    <row r="20">
      <c r="A20" t="inlineStr">
        <is>
          <t>A1</t>
        </is>
      </c>
      <c r="B20" s="4">
        <f>Концепции!$B$4</f>
        <v/>
      </c>
      <c r="C20" s="7" t="n">
        <v>1</v>
      </c>
      <c r="D20" s="6" t="n">
        <v>1</v>
      </c>
      <c r="E20" s="6" t="n">
        <v>3</v>
      </c>
      <c r="F20" s="6">
        <f>1/8</f>
        <v/>
      </c>
      <c r="G20" s="7">
        <f>PRODUCT(C20:F20)^(1/4)</f>
        <v/>
      </c>
      <c r="H20" s="7">
        <f>G20/SUM($G$20:$G$23)</f>
        <v/>
      </c>
    </row>
    <row r="21">
      <c r="A21" t="inlineStr">
        <is>
          <t>A2</t>
        </is>
      </c>
      <c r="B21" s="4">
        <f>Концепции!$B$5</f>
        <v/>
      </c>
      <c r="C21" s="7">
        <f>1/D20</f>
        <v/>
      </c>
      <c r="D21" s="7" t="n">
        <v>1</v>
      </c>
      <c r="E21" s="6" t="n">
        <v>2</v>
      </c>
      <c r="F21" s="6">
        <f>1/6</f>
        <v/>
      </c>
      <c r="G21" s="7">
        <f>PRODUCT(C21:F21)^(1/4)</f>
        <v/>
      </c>
      <c r="H21" s="7">
        <f>G21/SUM($G$20:$G$23)</f>
        <v/>
      </c>
    </row>
    <row r="22">
      <c r="A22" t="inlineStr">
        <is>
          <t>A3</t>
        </is>
      </c>
      <c r="B22" s="4">
        <f>Концепции!$B$6</f>
        <v/>
      </c>
      <c r="C22" s="7">
        <f>1/E20</f>
        <v/>
      </c>
      <c r="D22" s="7">
        <f>1/E21</f>
        <v/>
      </c>
      <c r="E22" s="7" t="n">
        <v>1</v>
      </c>
      <c r="F22" s="6">
        <f>1/8</f>
        <v/>
      </c>
      <c r="G22" s="7">
        <f>PRODUCT(C22:F22)^(1/4)</f>
        <v/>
      </c>
      <c r="H22" s="7">
        <f>G22/SUM($G$20:$G$23)</f>
        <v/>
      </c>
    </row>
    <row r="23">
      <c r="A23" t="inlineStr">
        <is>
          <t>A4</t>
        </is>
      </c>
      <c r="B23" s="4">
        <f>Концепции!$B$7</f>
        <v/>
      </c>
      <c r="C23" s="7">
        <f>1/F20</f>
        <v/>
      </c>
      <c r="D23" s="7">
        <f>1/F21</f>
        <v/>
      </c>
      <c r="E23" s="7">
        <f>1/F22</f>
        <v/>
      </c>
      <c r="F23" s="7" t="n">
        <v>1</v>
      </c>
      <c r="G23" s="7">
        <f>PRODUCT(C23:F23)^(1/4)</f>
        <v/>
      </c>
      <c r="H23" s="7">
        <f>G23/SUM($G$20:$G$23)</f>
        <v/>
      </c>
    </row>
    <row r="24">
      <c r="B24" t="inlineStr">
        <is>
          <t>Сумма столбца</t>
        </is>
      </c>
      <c r="C24" s="7">
        <f>SUM(C20:C23)</f>
        <v/>
      </c>
      <c r="D24" s="7">
        <f>SUM(D20:D23)</f>
        <v/>
      </c>
      <c r="E24" s="7">
        <f>SUM(E20:E23)</f>
        <v/>
      </c>
      <c r="F24" s="7">
        <f>SUM(F20:F23)</f>
        <v/>
      </c>
    </row>
    <row r="25">
      <c r="B25" t="inlineStr">
        <is>
          <t>λmax</t>
        </is>
      </c>
      <c r="C25" s="7">
        <f>C24*H20+D24*H21+E24*H22+F24*H23</f>
        <v/>
      </c>
    </row>
    <row r="26">
      <c r="B26" t="inlineStr">
        <is>
          <t>ИС = (λmax−n)/(n−1)</t>
        </is>
      </c>
      <c r="C26" s="7">
        <f>(C25-4)/(4-1)</f>
        <v/>
      </c>
    </row>
    <row r="27">
      <c r="B27" t="inlineStr">
        <is>
          <t>ОС = ИС / СИ (СИ = 0,90)</t>
        </is>
      </c>
      <c r="C27" s="7">
        <f>C26/0.9</f>
        <v/>
      </c>
      <c r="D27" s="8">
        <f>IF(C27&lt;=0.1,"согласовано","пересмотреть")</f>
        <v/>
      </c>
    </row>
    <row r="32">
      <c r="A32" s="2" t="inlineStr">
        <is>
          <t>Концепции по критерию C2</t>
        </is>
      </c>
      <c r="E32" s="2">
        <f>Концепции!$B$12</f>
        <v/>
      </c>
    </row>
    <row r="33">
      <c r="C33" s="3">
        <f>Концепции!$B$4</f>
        <v/>
      </c>
      <c r="D33" s="3">
        <f>Концепции!$B$5</f>
        <v/>
      </c>
      <c r="E33" s="3">
        <f>Концепции!$B$6</f>
        <v/>
      </c>
      <c r="F33" s="3">
        <f>Концепции!$B$7</f>
        <v/>
      </c>
      <c r="G33" s="3" t="inlineStr">
        <is>
          <t>Ср. геом.</t>
        </is>
      </c>
      <c r="H33" s="3" t="inlineStr">
        <is>
          <t>Вес</t>
        </is>
      </c>
    </row>
    <row r="34">
      <c r="A34" t="inlineStr">
        <is>
          <t>A1</t>
        </is>
      </c>
      <c r="B34" s="4">
        <f>Концепции!$B$4</f>
        <v/>
      </c>
      <c r="C34" s="7" t="n">
        <v>1</v>
      </c>
      <c r="D34" s="6" t="n">
        <v>1</v>
      </c>
      <c r="E34" s="6" t="n">
        <v>5</v>
      </c>
      <c r="F34" s="6" t="n">
        <v>3</v>
      </c>
      <c r="G34" s="7">
        <f>PRODUCT(C34:F34)^(1/4)</f>
        <v/>
      </c>
      <c r="H34" s="7">
        <f>G34/SUM($G$34:$G$37)</f>
        <v/>
      </c>
    </row>
    <row r="35">
      <c r="A35" t="inlineStr">
        <is>
          <t>A2</t>
        </is>
      </c>
      <c r="B35" s="4">
        <f>Концепции!$B$5</f>
        <v/>
      </c>
      <c r="C35" s="7">
        <f>1/D34</f>
        <v/>
      </c>
      <c r="D35" s="7" t="n">
        <v>1</v>
      </c>
      <c r="E35" s="6" t="n">
        <v>5</v>
      </c>
      <c r="F35" s="6" t="n">
        <v>3</v>
      </c>
      <c r="G35" s="7">
        <f>PRODUCT(C35:F35)^(1/4)</f>
        <v/>
      </c>
      <c r="H35" s="7">
        <f>G35/SUM($G$34:$G$37)</f>
        <v/>
      </c>
    </row>
    <row r="36">
      <c r="A36" t="inlineStr">
        <is>
          <t>A3</t>
        </is>
      </c>
      <c r="B36" s="4">
        <f>Концепции!$B$6</f>
        <v/>
      </c>
      <c r="C36" s="7">
        <f>1/E34</f>
        <v/>
      </c>
      <c r="D36" s="7">
        <f>1/E35</f>
        <v/>
      </c>
      <c r="E36" s="7" t="n">
        <v>1</v>
      </c>
      <c r="F36" s="6">
        <f>1/6</f>
        <v/>
      </c>
      <c r="G36" s="7">
        <f>PRODUCT(C36:F36)^(1/4)</f>
        <v/>
      </c>
      <c r="H36" s="7">
        <f>G36/SUM($G$34:$G$37)</f>
        <v/>
      </c>
    </row>
    <row r="37">
      <c r="A37" t="inlineStr">
        <is>
          <t>A4</t>
        </is>
      </c>
      <c r="B37" s="4">
        <f>Концепции!$B$7</f>
        <v/>
      </c>
      <c r="C37" s="7">
        <f>1/F34</f>
        <v/>
      </c>
      <c r="D37" s="7">
        <f>1/F35</f>
        <v/>
      </c>
      <c r="E37" s="7">
        <f>1/F36</f>
        <v/>
      </c>
      <c r="F37" s="7" t="n">
        <v>1</v>
      </c>
      <c r="G37" s="7">
        <f>PRODUCT(C37:F37)^(1/4)</f>
        <v/>
      </c>
      <c r="H37" s="7">
        <f>G37/SUM($G$34:$G$37)</f>
        <v/>
      </c>
    </row>
    <row r="38">
      <c r="B38" t="inlineStr">
        <is>
          <t>Сумма столбца</t>
        </is>
      </c>
      <c r="C38" s="7">
        <f>SUM(C34:C37)</f>
        <v/>
      </c>
      <c r="D38" s="7">
        <f>SUM(D34:D37)</f>
        <v/>
      </c>
      <c r="E38" s="7">
        <f>SUM(E34:E37)</f>
        <v/>
      </c>
      <c r="F38" s="7">
        <f>SUM(F34:F37)</f>
        <v/>
      </c>
    </row>
    <row r="39">
      <c r="B39" t="inlineStr">
        <is>
          <t>λmax</t>
        </is>
      </c>
      <c r="C39" s="7">
        <f>C38*H34+D38*H35+E38*H36+F38*H37</f>
        <v/>
      </c>
    </row>
    <row r="40">
      <c r="B40" t="inlineStr">
        <is>
          <t>ИС = (λmax−n)/(n−1)</t>
        </is>
      </c>
      <c r="C40" s="7">
        <f>(C39-4)/(4-1)</f>
        <v/>
      </c>
    </row>
    <row r="41">
      <c r="B41" t="inlineStr">
        <is>
          <t>ОС = ИС / СИ (СИ = 0,90)</t>
        </is>
      </c>
      <c r="C41" s="7">
        <f>C40/0.9</f>
        <v/>
      </c>
      <c r="D41" s="8">
        <f>IF(C41&lt;=0.1,"согласовано","пересмотреть")</f>
        <v/>
      </c>
    </row>
    <row r="46">
      <c r="A46" s="2" t="inlineStr">
        <is>
          <t>Концепции по критерию C3</t>
        </is>
      </c>
      <c r="E46" s="2">
        <f>Концепции!$B$13</f>
        <v/>
      </c>
    </row>
    <row r="47">
      <c r="C47" s="3">
        <f>Концепции!$B$4</f>
        <v/>
      </c>
      <c r="D47" s="3">
        <f>Концепции!$B$5</f>
        <v/>
      </c>
      <c r="E47" s="3">
        <f>Концепции!$B$6</f>
        <v/>
      </c>
      <c r="F47" s="3">
        <f>Концепции!$B$7</f>
        <v/>
      </c>
      <c r="G47" s="3" t="inlineStr">
        <is>
          <t>Ср. геом.</t>
        </is>
      </c>
      <c r="H47" s="3" t="inlineStr">
        <is>
          <t>Вес</t>
        </is>
      </c>
    </row>
    <row r="48">
      <c r="A48" t="inlineStr">
        <is>
          <t>A1</t>
        </is>
      </c>
      <c r="B48" s="4">
        <f>Концепции!$B$4</f>
        <v/>
      </c>
      <c r="C48" s="7" t="n">
        <v>1</v>
      </c>
      <c r="D48" s="6" t="n">
        <v>1</v>
      </c>
      <c r="E48" s="6" t="n">
        <v>5</v>
      </c>
      <c r="F48" s="6" t="n">
        <v>3</v>
      </c>
      <c r="G48" s="7">
        <f>PRODUCT(C48:F48)^(1/4)</f>
        <v/>
      </c>
      <c r="H48" s="7">
        <f>G48/SUM($G$48:$G$51)</f>
        <v/>
      </c>
    </row>
    <row r="49">
      <c r="A49" t="inlineStr">
        <is>
          <t>A2</t>
        </is>
      </c>
      <c r="B49" s="4">
        <f>Концепции!$B$5</f>
        <v/>
      </c>
      <c r="C49" s="7">
        <f>1/D48</f>
        <v/>
      </c>
      <c r="D49" s="7" t="n">
        <v>1</v>
      </c>
      <c r="E49" s="6" t="n">
        <v>5</v>
      </c>
      <c r="F49" s="6" t="n">
        <v>3</v>
      </c>
      <c r="G49" s="7">
        <f>PRODUCT(C49:F49)^(1/4)</f>
        <v/>
      </c>
      <c r="H49" s="7">
        <f>G49/SUM($G$48:$G$51)</f>
        <v/>
      </c>
    </row>
    <row r="50">
      <c r="A50" t="inlineStr">
        <is>
          <t>A3</t>
        </is>
      </c>
      <c r="B50" s="4">
        <f>Концепции!$B$6</f>
        <v/>
      </c>
      <c r="C50" s="7">
        <f>1/E48</f>
        <v/>
      </c>
      <c r="D50" s="7">
        <f>1/E49</f>
        <v/>
      </c>
      <c r="E50" s="7" t="n">
        <v>1</v>
      </c>
      <c r="F50" s="6">
        <f>1/6</f>
        <v/>
      </c>
      <c r="G50" s="7">
        <f>PRODUCT(C50:F50)^(1/4)</f>
        <v/>
      </c>
      <c r="H50" s="7">
        <f>G50/SUM($G$48:$G$51)</f>
        <v/>
      </c>
    </row>
    <row r="51">
      <c r="A51" t="inlineStr">
        <is>
          <t>A4</t>
        </is>
      </c>
      <c r="B51" s="4">
        <f>Концепции!$B$7</f>
        <v/>
      </c>
      <c r="C51" s="7">
        <f>1/F48</f>
        <v/>
      </c>
      <c r="D51" s="7">
        <f>1/F49</f>
        <v/>
      </c>
      <c r="E51" s="7">
        <f>1/F50</f>
        <v/>
      </c>
      <c r="F51" s="7" t="n">
        <v>1</v>
      </c>
      <c r="G51" s="7">
        <f>PRODUCT(C51:F51)^(1/4)</f>
        <v/>
      </c>
      <c r="H51" s="7">
        <f>G51/SUM($G$48:$G$51)</f>
        <v/>
      </c>
    </row>
    <row r="52">
      <c r="B52" t="inlineStr">
        <is>
          <t>Сумма столбца</t>
        </is>
      </c>
      <c r="C52" s="7">
        <f>SUM(C48:C51)</f>
        <v/>
      </c>
      <c r="D52" s="7">
        <f>SUM(D48:D51)</f>
        <v/>
      </c>
      <c r="E52" s="7">
        <f>SUM(E48:E51)</f>
        <v/>
      </c>
      <c r="F52" s="7">
        <f>SUM(F48:F51)</f>
        <v/>
      </c>
    </row>
    <row r="53">
      <c r="B53" t="inlineStr">
        <is>
          <t>λmax</t>
        </is>
      </c>
      <c r="C53" s="7">
        <f>C52*H48+D52*H49+E52*H50+F52*H51</f>
        <v/>
      </c>
    </row>
    <row r="54">
      <c r="B54" t="inlineStr">
        <is>
          <t>ИС = (λmax−n)/(n−1)</t>
        </is>
      </c>
      <c r="C54" s="7">
        <f>(C53-4)/(4-1)</f>
        <v/>
      </c>
    </row>
    <row r="55">
      <c r="B55" t="inlineStr">
        <is>
          <t>ОС = ИС / СИ (СИ = 0,90)</t>
        </is>
      </c>
      <c r="C55" s="7">
        <f>C54/0.9</f>
        <v/>
      </c>
      <c r="D55" s="8">
        <f>IF(C55&lt;=0.1,"согласовано","пересмотреть")</f>
        <v/>
      </c>
    </row>
    <row r="60">
      <c r="A60" s="2" t="inlineStr">
        <is>
          <t>Концепции по критерию C4</t>
        </is>
      </c>
      <c r="E60" s="2">
        <f>Концепции!$B$14</f>
        <v/>
      </c>
    </row>
    <row r="61">
      <c r="C61" s="3">
        <f>Концепции!$B$4</f>
        <v/>
      </c>
      <c r="D61" s="3">
        <f>Концепции!$B$5</f>
        <v/>
      </c>
      <c r="E61" s="3">
        <f>Концепции!$B$6</f>
        <v/>
      </c>
      <c r="F61" s="3">
        <f>Концепции!$B$7</f>
        <v/>
      </c>
      <c r="G61" s="3" t="inlineStr">
        <is>
          <t>Ср. геом.</t>
        </is>
      </c>
      <c r="H61" s="3" t="inlineStr">
        <is>
          <t>Вес</t>
        </is>
      </c>
    </row>
    <row r="62">
      <c r="A62" t="inlineStr">
        <is>
          <t>A1</t>
        </is>
      </c>
      <c r="B62" s="4">
        <f>Концепции!$B$4</f>
        <v/>
      </c>
      <c r="C62" s="7" t="n">
        <v>1</v>
      </c>
      <c r="D62" s="6" t="n">
        <v>1</v>
      </c>
      <c r="E62" s="6" t="n">
        <v>5</v>
      </c>
      <c r="F62" s="6">
        <f>1/6</f>
        <v/>
      </c>
      <c r="G62" s="7">
        <f>PRODUCT(C62:F62)^(1/4)</f>
        <v/>
      </c>
      <c r="H62" s="7">
        <f>G62/SUM($G$62:$G$65)</f>
        <v/>
      </c>
    </row>
    <row r="63">
      <c r="A63" t="inlineStr">
        <is>
          <t>A2</t>
        </is>
      </c>
      <c r="B63" s="4">
        <f>Концепции!$B$5</f>
        <v/>
      </c>
      <c r="C63" s="7">
        <f>1/D62</f>
        <v/>
      </c>
      <c r="D63" s="7" t="n">
        <v>1</v>
      </c>
      <c r="E63" s="6" t="n">
        <v>3</v>
      </c>
      <c r="F63" s="6">
        <f>1/6</f>
        <v/>
      </c>
      <c r="G63" s="7">
        <f>PRODUCT(C63:F63)^(1/4)</f>
        <v/>
      </c>
      <c r="H63" s="7">
        <f>G63/SUM($G$62:$G$65)</f>
        <v/>
      </c>
    </row>
    <row r="64">
      <c r="A64" t="inlineStr">
        <is>
          <t>A3</t>
        </is>
      </c>
      <c r="B64" s="4">
        <f>Концепции!$B$6</f>
        <v/>
      </c>
      <c r="C64" s="7">
        <f>1/E62</f>
        <v/>
      </c>
      <c r="D64" s="7">
        <f>1/E63</f>
        <v/>
      </c>
      <c r="E64" s="7" t="n">
        <v>1</v>
      </c>
      <c r="F64" s="6">
        <f>1/8</f>
        <v/>
      </c>
      <c r="G64" s="7">
        <f>PRODUCT(C64:F64)^(1/4)</f>
        <v/>
      </c>
      <c r="H64" s="7">
        <f>G64/SUM($G$62:$G$65)</f>
        <v/>
      </c>
    </row>
    <row r="65">
      <c r="A65" t="inlineStr">
        <is>
          <t>A4</t>
        </is>
      </c>
      <c r="B65" s="4">
        <f>Концепции!$B$7</f>
        <v/>
      </c>
      <c r="C65" s="7">
        <f>1/F62</f>
        <v/>
      </c>
      <c r="D65" s="7">
        <f>1/F63</f>
        <v/>
      </c>
      <c r="E65" s="7">
        <f>1/F64</f>
        <v/>
      </c>
      <c r="F65" s="7" t="n">
        <v>1</v>
      </c>
      <c r="G65" s="7">
        <f>PRODUCT(C65:F65)^(1/4)</f>
        <v/>
      </c>
      <c r="H65" s="7">
        <f>G65/SUM($G$62:$G$65)</f>
        <v/>
      </c>
    </row>
    <row r="66">
      <c r="B66" t="inlineStr">
        <is>
          <t>Сумма столбца</t>
        </is>
      </c>
      <c r="C66" s="7">
        <f>SUM(C62:C65)</f>
        <v/>
      </c>
      <c r="D66" s="7">
        <f>SUM(D62:D65)</f>
        <v/>
      </c>
      <c r="E66" s="7">
        <f>SUM(E62:E65)</f>
        <v/>
      </c>
      <c r="F66" s="7">
        <f>SUM(F62:F65)</f>
        <v/>
      </c>
    </row>
    <row r="67">
      <c r="B67" t="inlineStr">
        <is>
          <t>λmax</t>
        </is>
      </c>
      <c r="C67" s="7">
        <f>C66*H62+D66*H63+E66*H64+F66*H65</f>
        <v/>
      </c>
    </row>
    <row r="68">
      <c r="B68" t="inlineStr">
        <is>
          <t>ИС = (λmax−n)/(n−1)</t>
        </is>
      </c>
      <c r="C68" s="7">
        <f>(C67-4)/(4-1)</f>
        <v/>
      </c>
    </row>
    <row r="69">
      <c r="B69" t="inlineStr">
        <is>
          <t>ОС = ИС / СИ (СИ = 0,90)</t>
        </is>
      </c>
      <c r="C69" s="7">
        <f>C68/0.9</f>
        <v/>
      </c>
      <c r="D69" s="8">
        <f>IF(C69&lt;=0.1,"согласовано","пересмотреть")</f>
        <v/>
      </c>
    </row>
    <row r="74">
      <c r="A74" s="2" t="inlineStr">
        <is>
          <t>Концепции по критерию C5</t>
        </is>
      </c>
      <c r="E74" s="2">
        <f>Концепции!$B$15</f>
        <v/>
      </c>
    </row>
    <row r="75">
      <c r="C75" s="3">
        <f>Концепции!$B$4</f>
        <v/>
      </c>
      <c r="D75" s="3">
        <f>Концепции!$B$5</f>
        <v/>
      </c>
      <c r="E75" s="3">
        <f>Концепции!$B$6</f>
        <v/>
      </c>
      <c r="F75" s="3">
        <f>Концепции!$B$7</f>
        <v/>
      </c>
      <c r="G75" s="3" t="inlineStr">
        <is>
          <t>Ср. геом.</t>
        </is>
      </c>
      <c r="H75" s="3" t="inlineStr">
        <is>
          <t>Вес</t>
        </is>
      </c>
    </row>
    <row r="76">
      <c r="A76" t="inlineStr">
        <is>
          <t>A1</t>
        </is>
      </c>
      <c r="B76" s="4">
        <f>Концепции!$B$4</f>
        <v/>
      </c>
      <c r="C76" s="7" t="n">
        <v>1</v>
      </c>
      <c r="D76" s="6" t="n">
        <v>1</v>
      </c>
      <c r="E76" s="6" t="n">
        <v>7</v>
      </c>
      <c r="F76" s="6">
        <f>1/6</f>
        <v/>
      </c>
      <c r="G76" s="7">
        <f>PRODUCT(C76:F76)^(1/4)</f>
        <v/>
      </c>
      <c r="H76" s="7">
        <f>G76/SUM($G$76:$G$79)</f>
        <v/>
      </c>
    </row>
    <row r="77">
      <c r="A77" t="inlineStr">
        <is>
          <t>A2</t>
        </is>
      </c>
      <c r="B77" s="4">
        <f>Концепции!$B$5</f>
        <v/>
      </c>
      <c r="C77" s="7">
        <f>1/D76</f>
        <v/>
      </c>
      <c r="D77" s="7" t="n">
        <v>1</v>
      </c>
      <c r="E77" s="6" t="n">
        <v>5</v>
      </c>
      <c r="F77" s="6">
        <f>1/4</f>
        <v/>
      </c>
      <c r="G77" s="7">
        <f>PRODUCT(C77:F77)^(1/4)</f>
        <v/>
      </c>
      <c r="H77" s="7">
        <f>G77/SUM($G$76:$G$79)</f>
        <v/>
      </c>
    </row>
    <row r="78">
      <c r="A78" t="inlineStr">
        <is>
          <t>A3</t>
        </is>
      </c>
      <c r="B78" s="4">
        <f>Концепции!$B$6</f>
        <v/>
      </c>
      <c r="C78" s="7">
        <f>1/E76</f>
        <v/>
      </c>
      <c r="D78" s="7">
        <f>1/E77</f>
        <v/>
      </c>
      <c r="E78" s="7" t="n">
        <v>1</v>
      </c>
      <c r="F78" s="6">
        <f>1/9</f>
        <v/>
      </c>
      <c r="G78" s="7">
        <f>PRODUCT(C78:F78)^(1/4)</f>
        <v/>
      </c>
      <c r="H78" s="7">
        <f>G78/SUM($G$76:$G$79)</f>
        <v/>
      </c>
    </row>
    <row r="79">
      <c r="A79" t="inlineStr">
        <is>
          <t>A4</t>
        </is>
      </c>
      <c r="B79" s="4">
        <f>Концепции!$B$7</f>
        <v/>
      </c>
      <c r="C79" s="7">
        <f>1/F76</f>
        <v/>
      </c>
      <c r="D79" s="7">
        <f>1/F77</f>
        <v/>
      </c>
      <c r="E79" s="7">
        <f>1/F78</f>
        <v/>
      </c>
      <c r="F79" s="7" t="n">
        <v>1</v>
      </c>
      <c r="G79" s="7">
        <f>PRODUCT(C79:F79)^(1/4)</f>
        <v/>
      </c>
      <c r="H79" s="7">
        <f>G79/SUM($G$76:$G$79)</f>
        <v/>
      </c>
    </row>
    <row r="80">
      <c r="B80" t="inlineStr">
        <is>
          <t>Сумма столбца</t>
        </is>
      </c>
      <c r="C80" s="7">
        <f>SUM(C76:C79)</f>
        <v/>
      </c>
      <c r="D80" s="7">
        <f>SUM(D76:D79)</f>
        <v/>
      </c>
      <c r="E80" s="7">
        <f>SUM(E76:E79)</f>
        <v/>
      </c>
      <c r="F80" s="7">
        <f>SUM(F76:F79)</f>
        <v/>
      </c>
    </row>
    <row r="81">
      <c r="B81" t="inlineStr">
        <is>
          <t>λmax</t>
        </is>
      </c>
      <c r="C81" s="7">
        <f>C80*H76+D80*H77+E80*H78+F80*H79</f>
        <v/>
      </c>
    </row>
    <row r="82">
      <c r="B82" t="inlineStr">
        <is>
          <t>ИС = (λmax−n)/(n−1)</t>
        </is>
      </c>
      <c r="C82" s="7">
        <f>(C81-4)/(4-1)</f>
        <v/>
      </c>
    </row>
    <row r="83">
      <c r="B83" t="inlineStr">
        <is>
          <t>ОС = ИС / СИ (СИ = 0,90)</t>
        </is>
      </c>
      <c r="C83" s="7">
        <f>C82/0.9</f>
        <v/>
      </c>
      <c r="D83" s="8">
        <f>IF(C83&lt;=0.1,"согласовано","пересмотреть")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Коллективный МАИ: поэлементное среднее геометрическое суждений экспертов</t>
        </is>
      </c>
    </row>
    <row r="2">
      <c r="A2" t="inlineStr">
        <is>
          <t>Иерархия: цель «Выбор концепции проекта» → критерии C1–C5 → концепции A1–A4.</t>
        </is>
      </c>
    </row>
    <row r="4">
      <c r="A4" s="2" t="inlineStr">
        <is>
          <t>Критерии: парные сравнения важности</t>
        </is>
      </c>
    </row>
    <row r="5">
      <c r="C5" s="3">
        <f>Концепции!$B$11</f>
        <v/>
      </c>
      <c r="D5" s="3">
        <f>Концепции!$B$12</f>
        <v/>
      </c>
      <c r="E5" s="3">
        <f>Концепции!$B$13</f>
        <v/>
      </c>
      <c r="F5" s="3">
        <f>Концепции!$B$14</f>
        <v/>
      </c>
      <c r="G5" s="3">
        <f>Концепции!$B$15</f>
        <v/>
      </c>
      <c r="H5" s="3" t="inlineStr">
        <is>
          <t>Ср. геом.</t>
        </is>
      </c>
      <c r="I5" s="3" t="inlineStr">
        <is>
          <t>Вес</t>
        </is>
      </c>
    </row>
    <row r="6">
      <c r="A6" t="inlineStr">
        <is>
          <t>C1</t>
        </is>
      </c>
      <c r="B6" s="4">
        <f>Концепции!$B$11</f>
        <v/>
      </c>
      <c r="C6" s="7" t="n">
        <v>1</v>
      </c>
      <c r="D6" s="7">
        <f>('МАИ Эксперт 1'!D6*'МАИ Эксперт 2'!D6)^(1/2)</f>
        <v/>
      </c>
      <c r="E6" s="7">
        <f>('МАИ Эксперт 1'!E6*'МАИ Эксперт 2'!E6)^(1/2)</f>
        <v/>
      </c>
      <c r="F6" s="7">
        <f>('МАИ Эксперт 1'!F6*'МАИ Эксперт 2'!F6)^(1/2)</f>
        <v/>
      </c>
      <c r="G6" s="7">
        <f>('МАИ Эксперт 1'!G6*'МАИ Эксперт 2'!G6)^(1/2)</f>
        <v/>
      </c>
      <c r="H6" s="7">
        <f>PRODUCT(C6:G6)^(1/5)</f>
        <v/>
      </c>
      <c r="I6" s="7">
        <f>H6/SUM($H$6:$H$10)</f>
        <v/>
      </c>
    </row>
    <row r="7">
      <c r="A7" t="inlineStr">
        <is>
          <t>C2</t>
        </is>
      </c>
      <c r="B7" s="4">
        <f>Концепции!$B$12</f>
        <v/>
      </c>
      <c r="C7" s="7">
        <f>1/D6</f>
        <v/>
      </c>
      <c r="D7" s="7" t="n">
        <v>1</v>
      </c>
      <c r="E7" s="7">
        <f>('МАИ Эксперт 1'!E7*'МАИ Эксперт 2'!E7)^(1/2)</f>
        <v/>
      </c>
      <c r="F7" s="7">
        <f>('МАИ Эксперт 1'!F7*'МАИ Эксперт 2'!F7)^(1/2)</f>
        <v/>
      </c>
      <c r="G7" s="7">
        <f>('МАИ Эксперт 1'!G7*'МАИ Эксперт 2'!G7)^(1/2)</f>
        <v/>
      </c>
      <c r="H7" s="7">
        <f>PRODUCT(C7:G7)^(1/5)</f>
        <v/>
      </c>
      <c r="I7" s="7">
        <f>H7/SUM($H$6:$H$10)</f>
        <v/>
      </c>
    </row>
    <row r="8">
      <c r="A8" t="inlineStr">
        <is>
          <t>C3</t>
        </is>
      </c>
      <c r="B8" s="4">
        <f>Концепции!$B$13</f>
        <v/>
      </c>
      <c r="C8" s="7">
        <f>1/E6</f>
        <v/>
      </c>
      <c r="D8" s="7">
        <f>1/E7</f>
        <v/>
      </c>
      <c r="E8" s="7" t="n">
        <v>1</v>
      </c>
      <c r="F8" s="7">
        <f>('МАИ Эксперт 1'!F8*'МАИ Эксперт 2'!F8)^(1/2)</f>
        <v/>
      </c>
      <c r="G8" s="7">
        <f>('МАИ Эксперт 1'!G8*'МАИ Эксперт 2'!G8)^(1/2)</f>
        <v/>
      </c>
      <c r="H8" s="7">
        <f>PRODUCT(C8:G8)^(1/5)</f>
        <v/>
      </c>
      <c r="I8" s="7">
        <f>H8/SUM($H$6:$H$10)</f>
        <v/>
      </c>
    </row>
    <row r="9">
      <c r="A9" t="inlineStr">
        <is>
          <t>C4</t>
        </is>
      </c>
      <c r="B9" s="4">
        <f>Концепции!$B$14</f>
        <v/>
      </c>
      <c r="C9" s="7">
        <f>1/F6</f>
        <v/>
      </c>
      <c r="D9" s="7">
        <f>1/F7</f>
        <v/>
      </c>
      <c r="E9" s="7">
        <f>1/F8</f>
        <v/>
      </c>
      <c r="F9" s="7" t="n">
        <v>1</v>
      </c>
      <c r="G9" s="7">
        <f>('МАИ Эксперт 1'!G9*'МАИ Эксперт 2'!G9)^(1/2)</f>
        <v/>
      </c>
      <c r="H9" s="7">
        <f>PRODUCT(C9:G9)^(1/5)</f>
        <v/>
      </c>
      <c r="I9" s="7">
        <f>H9/SUM($H$6:$H$10)</f>
        <v/>
      </c>
    </row>
    <row r="10">
      <c r="A10" t="inlineStr">
        <is>
          <t>C5</t>
        </is>
      </c>
      <c r="B10" s="4">
        <f>Концепции!$B$15</f>
        <v/>
      </c>
      <c r="C10" s="7">
        <f>1/G6</f>
        <v/>
      </c>
      <c r="D10" s="7">
        <f>1/G7</f>
        <v/>
      </c>
      <c r="E10" s="7">
        <f>1/G8</f>
        <v/>
      </c>
      <c r="F10" s="7">
        <f>1/G9</f>
        <v/>
      </c>
      <c r="G10" s="7" t="n">
        <v>1</v>
      </c>
      <c r="H10" s="7">
        <f>PRODUCT(C10:G10)^(1/5)</f>
        <v/>
      </c>
      <c r="I10" s="7">
        <f>H10/SUM($H$6:$H$10)</f>
        <v/>
      </c>
    </row>
    <row r="11">
      <c r="B11" t="inlineStr">
        <is>
          <t>Сумма столбца</t>
        </is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</row>
    <row r="12">
      <c r="B12" t="inlineStr">
        <is>
          <t>λmax</t>
        </is>
      </c>
      <c r="C12" s="7">
        <f>C11*I6+D11*I7+E11*I8+F11*I9+G11*I10</f>
        <v/>
      </c>
    </row>
    <row r="13">
      <c r="B13" t="inlineStr">
        <is>
          <t>ИС = (λmax−n)/(n−1)</t>
        </is>
      </c>
      <c r="C13" s="7">
        <f>(C12-5)/(5-1)</f>
        <v/>
      </c>
    </row>
    <row r="14">
      <c r="B14" t="inlineStr">
        <is>
          <t>ОС = ИС / СИ (СИ = 1,12)</t>
        </is>
      </c>
      <c r="C14" s="7">
        <f>C13/1.12</f>
        <v/>
      </c>
      <c r="D14" s="8">
        <f>IF(C14&lt;=0.1,"согласовано","пересмотреть")</f>
        <v/>
      </c>
    </row>
    <row r="18">
      <c r="A18" s="2" t="inlineStr">
        <is>
          <t>Концепции по критерию C1</t>
        </is>
      </c>
      <c r="E18" s="2">
        <f>Концепции!$B$11</f>
        <v/>
      </c>
    </row>
    <row r="19">
      <c r="C19" s="3">
        <f>Концепции!$B$4</f>
        <v/>
      </c>
      <c r="D19" s="3">
        <f>Концепции!$B$5</f>
        <v/>
      </c>
      <c r="E19" s="3">
        <f>Концепции!$B$6</f>
        <v/>
      </c>
      <c r="F19" s="3">
        <f>Концепции!$B$7</f>
        <v/>
      </c>
      <c r="G19" s="3" t="inlineStr">
        <is>
          <t>Ср. геом.</t>
        </is>
      </c>
      <c r="H19" s="3" t="inlineStr">
        <is>
          <t>Вес</t>
        </is>
      </c>
    </row>
    <row r="20">
      <c r="A20" t="inlineStr">
        <is>
          <t>A1</t>
        </is>
      </c>
      <c r="B20" s="4">
        <f>Концепции!$B$4</f>
        <v/>
      </c>
      <c r="C20" s="7" t="n">
        <v>1</v>
      </c>
      <c r="D20" s="7">
        <f>('МАИ Эксперт 1'!D20*'МАИ Эксперт 2'!D20)^(1/2)</f>
        <v/>
      </c>
      <c r="E20" s="7">
        <f>('МАИ Эксперт 1'!E20*'МАИ Эксперт 2'!E20)^(1/2)</f>
        <v/>
      </c>
      <c r="F20" s="7">
        <f>('МАИ Эксперт 1'!F20*'МАИ Эксперт 2'!F20)^(1/2)</f>
        <v/>
      </c>
      <c r="G20" s="7">
        <f>PRODUCT(C20:F20)^(1/4)</f>
        <v/>
      </c>
      <c r="H20" s="7">
        <f>G20/SUM($G$20:$G$23)</f>
        <v/>
      </c>
    </row>
    <row r="21">
      <c r="A21" t="inlineStr">
        <is>
          <t>A2</t>
        </is>
      </c>
      <c r="B21" s="4">
        <f>Концепции!$B$5</f>
        <v/>
      </c>
      <c r="C21" s="7">
        <f>1/D20</f>
        <v/>
      </c>
      <c r="D21" s="7" t="n">
        <v>1</v>
      </c>
      <c r="E21" s="7">
        <f>('МАИ Эксперт 1'!E21*'МАИ Эксперт 2'!E21)^(1/2)</f>
        <v/>
      </c>
      <c r="F21" s="7">
        <f>('МАИ Эксперт 1'!F21*'МАИ Эксперт 2'!F21)^(1/2)</f>
        <v/>
      </c>
      <c r="G21" s="7">
        <f>PRODUCT(C21:F21)^(1/4)</f>
        <v/>
      </c>
      <c r="H21" s="7">
        <f>G21/SUM($G$20:$G$23)</f>
        <v/>
      </c>
    </row>
    <row r="22">
      <c r="A22" t="inlineStr">
        <is>
          <t>A3</t>
        </is>
      </c>
      <c r="B22" s="4">
        <f>Концепции!$B$6</f>
        <v/>
      </c>
      <c r="C22" s="7">
        <f>1/E20</f>
        <v/>
      </c>
      <c r="D22" s="7">
        <f>1/E21</f>
        <v/>
      </c>
      <c r="E22" s="7" t="n">
        <v>1</v>
      </c>
      <c r="F22" s="7">
        <f>('МАИ Эксперт 1'!F22*'МАИ Эксперт 2'!F22)^(1/2)</f>
        <v/>
      </c>
      <c r="G22" s="7">
        <f>PRODUCT(C22:F22)^(1/4)</f>
        <v/>
      </c>
      <c r="H22" s="7">
        <f>G22/SUM($G$20:$G$23)</f>
        <v/>
      </c>
    </row>
    <row r="23">
      <c r="A23" t="inlineStr">
        <is>
          <t>A4</t>
        </is>
      </c>
      <c r="B23" s="4">
        <f>Концепции!$B$7</f>
        <v/>
      </c>
      <c r="C23" s="7">
        <f>1/F20</f>
        <v/>
      </c>
      <c r="D23" s="7">
        <f>1/F21</f>
        <v/>
      </c>
      <c r="E23" s="7">
        <f>1/F22</f>
        <v/>
      </c>
      <c r="F23" s="7" t="n">
        <v>1</v>
      </c>
      <c r="G23" s="7">
        <f>PRODUCT(C23:F23)^(1/4)</f>
        <v/>
      </c>
      <c r="H23" s="7">
        <f>G23/SUM($G$20:$G$23)</f>
        <v/>
      </c>
    </row>
    <row r="24">
      <c r="B24" t="inlineStr">
        <is>
          <t>Сумма столбца</t>
        </is>
      </c>
      <c r="C24" s="7">
        <f>SUM(C20:C23)</f>
        <v/>
      </c>
      <c r="D24" s="7">
        <f>SUM(D20:D23)</f>
        <v/>
      </c>
      <c r="E24" s="7">
        <f>SUM(E20:E23)</f>
        <v/>
      </c>
      <c r="F24" s="7">
        <f>SUM(F20:F23)</f>
        <v/>
      </c>
    </row>
    <row r="25">
      <c r="B25" t="inlineStr">
        <is>
          <t>λmax</t>
        </is>
      </c>
      <c r="C25" s="7">
        <f>C24*H20+D24*H21+E24*H22+F24*H23</f>
        <v/>
      </c>
    </row>
    <row r="26">
      <c r="B26" t="inlineStr">
        <is>
          <t>ИС = (λmax−n)/(n−1)</t>
        </is>
      </c>
      <c r="C26" s="7">
        <f>(C25-4)/(4-1)</f>
        <v/>
      </c>
    </row>
    <row r="27">
      <c r="B27" t="inlineStr">
        <is>
          <t>ОС = ИС / СИ (СИ = 0,90)</t>
        </is>
      </c>
      <c r="C27" s="7">
        <f>C26/0.9</f>
        <v/>
      </c>
      <c r="D27" s="8">
        <f>IF(C27&lt;=0.1,"согласовано","пересмотреть")</f>
        <v/>
      </c>
    </row>
    <row r="32">
      <c r="A32" s="2" t="inlineStr">
        <is>
          <t>Концепции по критерию C2</t>
        </is>
      </c>
      <c r="E32" s="2">
        <f>Концепции!$B$12</f>
        <v/>
      </c>
    </row>
    <row r="33">
      <c r="C33" s="3">
        <f>Концепции!$B$4</f>
        <v/>
      </c>
      <c r="D33" s="3">
        <f>Концепции!$B$5</f>
        <v/>
      </c>
      <c r="E33" s="3">
        <f>Концепции!$B$6</f>
        <v/>
      </c>
      <c r="F33" s="3">
        <f>Концепции!$B$7</f>
        <v/>
      </c>
      <c r="G33" s="3" t="inlineStr">
        <is>
          <t>Ср. геом.</t>
        </is>
      </c>
      <c r="H33" s="3" t="inlineStr">
        <is>
          <t>Вес</t>
        </is>
      </c>
    </row>
    <row r="34">
      <c r="A34" t="inlineStr">
        <is>
          <t>A1</t>
        </is>
      </c>
      <c r="B34" s="4">
        <f>Концепции!$B$4</f>
        <v/>
      </c>
      <c r="C34" s="7" t="n">
        <v>1</v>
      </c>
      <c r="D34" s="7">
        <f>('МАИ Эксперт 1'!D34*'МАИ Эксперт 2'!D34)^(1/2)</f>
        <v/>
      </c>
      <c r="E34" s="7">
        <f>('МАИ Эксперт 1'!E34*'МАИ Эксперт 2'!E34)^(1/2)</f>
        <v/>
      </c>
      <c r="F34" s="7">
        <f>('МАИ Эксперт 1'!F34*'МАИ Эксперт 2'!F34)^(1/2)</f>
        <v/>
      </c>
      <c r="G34" s="7">
        <f>PRODUCT(C34:F34)^(1/4)</f>
        <v/>
      </c>
      <c r="H34" s="7">
        <f>G34/SUM($G$34:$G$37)</f>
        <v/>
      </c>
    </row>
    <row r="35">
      <c r="A35" t="inlineStr">
        <is>
          <t>A2</t>
        </is>
      </c>
      <c r="B35" s="4">
        <f>Концепции!$B$5</f>
        <v/>
      </c>
      <c r="C35" s="7">
        <f>1/D34</f>
        <v/>
      </c>
      <c r="D35" s="7" t="n">
        <v>1</v>
      </c>
      <c r="E35" s="7">
        <f>('МАИ Эксперт 1'!E35*'МАИ Эксперт 2'!E35)^(1/2)</f>
        <v/>
      </c>
      <c r="F35" s="7">
        <f>('МАИ Эксперт 1'!F35*'МАИ Эксперт 2'!F35)^(1/2)</f>
        <v/>
      </c>
      <c r="G35" s="7">
        <f>PRODUCT(C35:F35)^(1/4)</f>
        <v/>
      </c>
      <c r="H35" s="7">
        <f>G35/SUM($G$34:$G$37)</f>
        <v/>
      </c>
    </row>
    <row r="36">
      <c r="A36" t="inlineStr">
        <is>
          <t>A3</t>
        </is>
      </c>
      <c r="B36" s="4">
        <f>Концепции!$B$6</f>
        <v/>
      </c>
      <c r="C36" s="7">
        <f>1/E34</f>
        <v/>
      </c>
      <c r="D36" s="7">
        <f>1/E35</f>
        <v/>
      </c>
      <c r="E36" s="7" t="n">
        <v>1</v>
      </c>
      <c r="F36" s="7">
        <f>('МАИ Эксперт 1'!F36*'МАИ Эксперт 2'!F36)^(1/2)</f>
        <v/>
      </c>
      <c r="G36" s="7">
        <f>PRODUCT(C36:F36)^(1/4)</f>
        <v/>
      </c>
      <c r="H36" s="7">
        <f>G36/SUM($G$34:$G$37)</f>
        <v/>
      </c>
    </row>
    <row r="37">
      <c r="A37" t="inlineStr">
        <is>
          <t>A4</t>
        </is>
      </c>
      <c r="B37" s="4">
        <f>Концепции!$B$7</f>
        <v/>
      </c>
      <c r="C37" s="7">
        <f>1/F34</f>
        <v/>
      </c>
      <c r="D37" s="7">
        <f>1/F35</f>
        <v/>
      </c>
      <c r="E37" s="7">
        <f>1/F36</f>
        <v/>
      </c>
      <c r="F37" s="7" t="n">
        <v>1</v>
      </c>
      <c r="G37" s="7">
        <f>PRODUCT(C37:F37)^(1/4)</f>
        <v/>
      </c>
      <c r="H37" s="7">
        <f>G37/SUM($G$34:$G$37)</f>
        <v/>
      </c>
    </row>
    <row r="38">
      <c r="B38" t="inlineStr">
        <is>
          <t>Сумма столбца</t>
        </is>
      </c>
      <c r="C38" s="7">
        <f>SUM(C34:C37)</f>
        <v/>
      </c>
      <c r="D38" s="7">
        <f>SUM(D34:D37)</f>
        <v/>
      </c>
      <c r="E38" s="7">
        <f>SUM(E34:E37)</f>
        <v/>
      </c>
      <c r="F38" s="7">
        <f>SUM(F34:F37)</f>
        <v/>
      </c>
    </row>
    <row r="39">
      <c r="B39" t="inlineStr">
        <is>
          <t>λmax</t>
        </is>
      </c>
      <c r="C39" s="7">
        <f>C38*H34+D38*H35+E38*H36+F38*H37</f>
        <v/>
      </c>
    </row>
    <row r="40">
      <c r="B40" t="inlineStr">
        <is>
          <t>ИС = (λmax−n)/(n−1)</t>
        </is>
      </c>
      <c r="C40" s="7">
        <f>(C39-4)/(4-1)</f>
        <v/>
      </c>
    </row>
    <row r="41">
      <c r="B41" t="inlineStr">
        <is>
          <t>ОС = ИС / СИ (СИ = 0,90)</t>
        </is>
      </c>
      <c r="C41" s="7">
        <f>C40/0.9</f>
        <v/>
      </c>
      <c r="D41" s="8">
        <f>IF(C41&lt;=0.1,"согласовано","пересмотреть")</f>
        <v/>
      </c>
    </row>
    <row r="46">
      <c r="A46" s="2" t="inlineStr">
        <is>
          <t>Концепции по критерию C3</t>
        </is>
      </c>
      <c r="E46" s="2">
        <f>Концепции!$B$13</f>
        <v/>
      </c>
    </row>
    <row r="47">
      <c r="C47" s="3">
        <f>Концепции!$B$4</f>
        <v/>
      </c>
      <c r="D47" s="3">
        <f>Концепции!$B$5</f>
        <v/>
      </c>
      <c r="E47" s="3">
        <f>Концепции!$B$6</f>
        <v/>
      </c>
      <c r="F47" s="3">
        <f>Концепции!$B$7</f>
        <v/>
      </c>
      <c r="G47" s="3" t="inlineStr">
        <is>
          <t>Ср. геом.</t>
        </is>
      </c>
      <c r="H47" s="3" t="inlineStr">
        <is>
          <t>Вес</t>
        </is>
      </c>
    </row>
    <row r="48">
      <c r="A48" t="inlineStr">
        <is>
          <t>A1</t>
        </is>
      </c>
      <c r="B48" s="4">
        <f>Концепции!$B$4</f>
        <v/>
      </c>
      <c r="C48" s="7" t="n">
        <v>1</v>
      </c>
      <c r="D48" s="7">
        <f>('МАИ Эксперт 1'!D48*'МАИ Эксперт 2'!D48)^(1/2)</f>
        <v/>
      </c>
      <c r="E48" s="7">
        <f>('МАИ Эксперт 1'!E48*'МАИ Эксперт 2'!E48)^(1/2)</f>
        <v/>
      </c>
      <c r="F48" s="7">
        <f>('МАИ Эксперт 1'!F48*'МАИ Эксперт 2'!F48)^(1/2)</f>
        <v/>
      </c>
      <c r="G48" s="7">
        <f>PRODUCT(C48:F48)^(1/4)</f>
        <v/>
      </c>
      <c r="H48" s="7">
        <f>G48/SUM($G$48:$G$51)</f>
        <v/>
      </c>
    </row>
    <row r="49">
      <c r="A49" t="inlineStr">
        <is>
          <t>A2</t>
        </is>
      </c>
      <c r="B49" s="4">
        <f>Концепции!$B$5</f>
        <v/>
      </c>
      <c r="C49" s="7">
        <f>1/D48</f>
        <v/>
      </c>
      <c r="D49" s="7" t="n">
        <v>1</v>
      </c>
      <c r="E49" s="7">
        <f>('МАИ Эксперт 1'!E49*'МАИ Эксперт 2'!E49)^(1/2)</f>
        <v/>
      </c>
      <c r="F49" s="7">
        <f>('МАИ Эксперт 1'!F49*'МАИ Эксперт 2'!F49)^(1/2)</f>
        <v/>
      </c>
      <c r="G49" s="7">
        <f>PRODUCT(C49:F49)^(1/4)</f>
        <v/>
      </c>
      <c r="H49" s="7">
        <f>G49/SUM($G$48:$G$51)</f>
        <v/>
      </c>
    </row>
    <row r="50">
      <c r="A50" t="inlineStr">
        <is>
          <t>A3</t>
        </is>
      </c>
      <c r="B50" s="4">
        <f>Концепции!$B$6</f>
        <v/>
      </c>
      <c r="C50" s="7">
        <f>1/E48</f>
        <v/>
      </c>
      <c r="D50" s="7">
        <f>1/E49</f>
        <v/>
      </c>
      <c r="E50" s="7" t="n">
        <v>1</v>
      </c>
      <c r="F50" s="7">
        <f>('МАИ Эксперт 1'!F50*'МАИ Эксперт 2'!F50)^(1/2)</f>
        <v/>
      </c>
      <c r="G50" s="7">
        <f>PRODUCT(C50:F50)^(1/4)</f>
        <v/>
      </c>
      <c r="H50" s="7">
        <f>G50/SUM($G$48:$G$51)</f>
        <v/>
      </c>
    </row>
    <row r="51">
      <c r="A51" t="inlineStr">
        <is>
          <t>A4</t>
        </is>
      </c>
      <c r="B51" s="4">
        <f>Концепции!$B$7</f>
        <v/>
      </c>
      <c r="C51" s="7">
        <f>1/F48</f>
        <v/>
      </c>
      <c r="D51" s="7">
        <f>1/F49</f>
        <v/>
      </c>
      <c r="E51" s="7">
        <f>1/F50</f>
        <v/>
      </c>
      <c r="F51" s="7" t="n">
        <v>1</v>
      </c>
      <c r="G51" s="7">
        <f>PRODUCT(C51:F51)^(1/4)</f>
        <v/>
      </c>
      <c r="H51" s="7">
        <f>G51/SUM($G$48:$G$51)</f>
        <v/>
      </c>
    </row>
    <row r="52">
      <c r="B52" t="inlineStr">
        <is>
          <t>Сумма столбца</t>
        </is>
      </c>
      <c r="C52" s="7">
        <f>SUM(C48:C51)</f>
        <v/>
      </c>
      <c r="D52" s="7">
        <f>SUM(D48:D51)</f>
        <v/>
      </c>
      <c r="E52" s="7">
        <f>SUM(E48:E51)</f>
        <v/>
      </c>
      <c r="F52" s="7">
        <f>SUM(F48:F51)</f>
        <v/>
      </c>
    </row>
    <row r="53">
      <c r="B53" t="inlineStr">
        <is>
          <t>λmax</t>
        </is>
      </c>
      <c r="C53" s="7">
        <f>C52*H48+D52*H49+E52*H50+F52*H51</f>
        <v/>
      </c>
    </row>
    <row r="54">
      <c r="B54" t="inlineStr">
        <is>
          <t>ИС = (λmax−n)/(n−1)</t>
        </is>
      </c>
      <c r="C54" s="7">
        <f>(C53-4)/(4-1)</f>
        <v/>
      </c>
    </row>
    <row r="55">
      <c r="B55" t="inlineStr">
        <is>
          <t>ОС = ИС / СИ (СИ = 0,90)</t>
        </is>
      </c>
      <c r="C55" s="7">
        <f>C54/0.9</f>
        <v/>
      </c>
      <c r="D55" s="8">
        <f>IF(C55&lt;=0.1,"согласовано","пересмотреть")</f>
        <v/>
      </c>
    </row>
    <row r="60">
      <c r="A60" s="2" t="inlineStr">
        <is>
          <t>Концепции по критерию C4</t>
        </is>
      </c>
      <c r="E60" s="2">
        <f>Концепции!$B$14</f>
        <v/>
      </c>
    </row>
    <row r="61">
      <c r="C61" s="3">
        <f>Концепции!$B$4</f>
        <v/>
      </c>
      <c r="D61" s="3">
        <f>Концепции!$B$5</f>
        <v/>
      </c>
      <c r="E61" s="3">
        <f>Концепции!$B$6</f>
        <v/>
      </c>
      <c r="F61" s="3">
        <f>Концепции!$B$7</f>
        <v/>
      </c>
      <c r="G61" s="3" t="inlineStr">
        <is>
          <t>Ср. геом.</t>
        </is>
      </c>
      <c r="H61" s="3" t="inlineStr">
        <is>
          <t>Вес</t>
        </is>
      </c>
    </row>
    <row r="62">
      <c r="A62" t="inlineStr">
        <is>
          <t>A1</t>
        </is>
      </c>
      <c r="B62" s="4">
        <f>Концепции!$B$4</f>
        <v/>
      </c>
      <c r="C62" s="7" t="n">
        <v>1</v>
      </c>
      <c r="D62" s="7">
        <f>('МАИ Эксперт 1'!D62*'МАИ Эксперт 2'!D62)^(1/2)</f>
        <v/>
      </c>
      <c r="E62" s="7">
        <f>('МАИ Эксперт 1'!E62*'МАИ Эксперт 2'!E62)^(1/2)</f>
        <v/>
      </c>
      <c r="F62" s="7">
        <f>('МАИ Эксперт 1'!F62*'МАИ Эксперт 2'!F62)^(1/2)</f>
        <v/>
      </c>
      <c r="G62" s="7">
        <f>PRODUCT(C62:F62)^(1/4)</f>
        <v/>
      </c>
      <c r="H62" s="7">
        <f>G62/SUM($G$62:$G$65)</f>
        <v/>
      </c>
    </row>
    <row r="63">
      <c r="A63" t="inlineStr">
        <is>
          <t>A2</t>
        </is>
      </c>
      <c r="B63" s="4">
        <f>Концепции!$B$5</f>
        <v/>
      </c>
      <c r="C63" s="7">
        <f>1/D62</f>
        <v/>
      </c>
      <c r="D63" s="7" t="n">
        <v>1</v>
      </c>
      <c r="E63" s="7">
        <f>('МАИ Эксперт 1'!E63*'МАИ Эксперт 2'!E63)^(1/2)</f>
        <v/>
      </c>
      <c r="F63" s="7">
        <f>('МАИ Эксперт 1'!F63*'МАИ Эксперт 2'!F63)^(1/2)</f>
        <v/>
      </c>
      <c r="G63" s="7">
        <f>PRODUCT(C63:F63)^(1/4)</f>
        <v/>
      </c>
      <c r="H63" s="7">
        <f>G63/SUM($G$62:$G$65)</f>
        <v/>
      </c>
    </row>
    <row r="64">
      <c r="A64" t="inlineStr">
        <is>
          <t>A3</t>
        </is>
      </c>
      <c r="B64" s="4">
        <f>Концепции!$B$6</f>
        <v/>
      </c>
      <c r="C64" s="7">
        <f>1/E62</f>
        <v/>
      </c>
      <c r="D64" s="7">
        <f>1/E63</f>
        <v/>
      </c>
      <c r="E64" s="7" t="n">
        <v>1</v>
      </c>
      <c r="F64" s="7">
        <f>('МАИ Эксперт 1'!F64*'МАИ Эксперт 2'!F64)^(1/2)</f>
        <v/>
      </c>
      <c r="G64" s="7">
        <f>PRODUCT(C64:F64)^(1/4)</f>
        <v/>
      </c>
      <c r="H64" s="7">
        <f>G64/SUM($G$62:$G$65)</f>
        <v/>
      </c>
    </row>
    <row r="65">
      <c r="A65" t="inlineStr">
        <is>
          <t>A4</t>
        </is>
      </c>
      <c r="B65" s="4">
        <f>Концепции!$B$7</f>
        <v/>
      </c>
      <c r="C65" s="7">
        <f>1/F62</f>
        <v/>
      </c>
      <c r="D65" s="7">
        <f>1/F63</f>
        <v/>
      </c>
      <c r="E65" s="7">
        <f>1/F64</f>
        <v/>
      </c>
      <c r="F65" s="7" t="n">
        <v>1</v>
      </c>
      <c r="G65" s="7">
        <f>PRODUCT(C65:F65)^(1/4)</f>
        <v/>
      </c>
      <c r="H65" s="7">
        <f>G65/SUM($G$62:$G$65)</f>
        <v/>
      </c>
    </row>
    <row r="66">
      <c r="B66" t="inlineStr">
        <is>
          <t>Сумма столбца</t>
        </is>
      </c>
      <c r="C66" s="7">
        <f>SUM(C62:C65)</f>
        <v/>
      </c>
      <c r="D66" s="7">
        <f>SUM(D62:D65)</f>
        <v/>
      </c>
      <c r="E66" s="7">
        <f>SUM(E62:E65)</f>
        <v/>
      </c>
      <c r="F66" s="7">
        <f>SUM(F62:F65)</f>
        <v/>
      </c>
    </row>
    <row r="67">
      <c r="B67" t="inlineStr">
        <is>
          <t>λmax</t>
        </is>
      </c>
      <c r="C67" s="7">
        <f>C66*H62+D66*H63+E66*H64+F66*H65</f>
        <v/>
      </c>
    </row>
    <row r="68">
      <c r="B68" t="inlineStr">
        <is>
          <t>ИС = (λmax−n)/(n−1)</t>
        </is>
      </c>
      <c r="C68" s="7">
        <f>(C67-4)/(4-1)</f>
        <v/>
      </c>
    </row>
    <row r="69">
      <c r="B69" t="inlineStr">
        <is>
          <t>ОС = ИС / СИ (СИ = 0,90)</t>
        </is>
      </c>
      <c r="C69" s="7">
        <f>C68/0.9</f>
        <v/>
      </c>
      <c r="D69" s="8">
        <f>IF(C69&lt;=0.1,"согласовано","пересмотреть")</f>
        <v/>
      </c>
    </row>
    <row r="74">
      <c r="A74" s="2" t="inlineStr">
        <is>
          <t>Концепции по критерию C5</t>
        </is>
      </c>
      <c r="E74" s="2">
        <f>Концепции!$B$15</f>
        <v/>
      </c>
    </row>
    <row r="75">
      <c r="C75" s="3">
        <f>Концепции!$B$4</f>
        <v/>
      </c>
      <c r="D75" s="3">
        <f>Концепции!$B$5</f>
        <v/>
      </c>
      <c r="E75" s="3">
        <f>Концепции!$B$6</f>
        <v/>
      </c>
      <c r="F75" s="3">
        <f>Концепции!$B$7</f>
        <v/>
      </c>
      <c r="G75" s="3" t="inlineStr">
        <is>
          <t>Ср. геом.</t>
        </is>
      </c>
      <c r="H75" s="3" t="inlineStr">
        <is>
          <t>Вес</t>
        </is>
      </c>
    </row>
    <row r="76">
      <c r="A76" t="inlineStr">
        <is>
          <t>A1</t>
        </is>
      </c>
      <c r="B76" s="4">
        <f>Концепции!$B$4</f>
        <v/>
      </c>
      <c r="C76" s="7" t="n">
        <v>1</v>
      </c>
      <c r="D76" s="7">
        <f>('МАИ Эксперт 1'!D76*'МАИ Эксперт 2'!D76)^(1/2)</f>
        <v/>
      </c>
      <c r="E76" s="7">
        <f>('МАИ Эксперт 1'!E76*'МАИ Эксперт 2'!E76)^(1/2)</f>
        <v/>
      </c>
      <c r="F76" s="7">
        <f>('МАИ Эксперт 1'!F76*'МАИ Эксперт 2'!F76)^(1/2)</f>
        <v/>
      </c>
      <c r="G76" s="7">
        <f>PRODUCT(C76:F76)^(1/4)</f>
        <v/>
      </c>
      <c r="H76" s="7">
        <f>G76/SUM($G$76:$G$79)</f>
        <v/>
      </c>
    </row>
    <row r="77">
      <c r="A77" t="inlineStr">
        <is>
          <t>A2</t>
        </is>
      </c>
      <c r="B77" s="4">
        <f>Концепции!$B$5</f>
        <v/>
      </c>
      <c r="C77" s="7">
        <f>1/D76</f>
        <v/>
      </c>
      <c r="D77" s="7" t="n">
        <v>1</v>
      </c>
      <c r="E77" s="7">
        <f>('МАИ Эксперт 1'!E77*'МАИ Эксперт 2'!E77)^(1/2)</f>
        <v/>
      </c>
      <c r="F77" s="7">
        <f>('МАИ Эксперт 1'!F77*'МАИ Эксперт 2'!F77)^(1/2)</f>
        <v/>
      </c>
      <c r="G77" s="7">
        <f>PRODUCT(C77:F77)^(1/4)</f>
        <v/>
      </c>
      <c r="H77" s="7">
        <f>G77/SUM($G$76:$G$79)</f>
        <v/>
      </c>
    </row>
    <row r="78">
      <c r="A78" t="inlineStr">
        <is>
          <t>A3</t>
        </is>
      </c>
      <c r="B78" s="4">
        <f>Концепции!$B$6</f>
        <v/>
      </c>
      <c r="C78" s="7">
        <f>1/E76</f>
        <v/>
      </c>
      <c r="D78" s="7">
        <f>1/E77</f>
        <v/>
      </c>
      <c r="E78" s="7" t="n">
        <v>1</v>
      </c>
      <c r="F78" s="7">
        <f>('МАИ Эксперт 1'!F78*'МАИ Эксперт 2'!F78)^(1/2)</f>
        <v/>
      </c>
      <c r="G78" s="7">
        <f>PRODUCT(C78:F78)^(1/4)</f>
        <v/>
      </c>
      <c r="H78" s="7">
        <f>G78/SUM($G$76:$G$79)</f>
        <v/>
      </c>
    </row>
    <row r="79">
      <c r="A79" t="inlineStr">
        <is>
          <t>A4</t>
        </is>
      </c>
      <c r="B79" s="4">
        <f>Концепции!$B$7</f>
        <v/>
      </c>
      <c r="C79" s="7">
        <f>1/F76</f>
        <v/>
      </c>
      <c r="D79" s="7">
        <f>1/F77</f>
        <v/>
      </c>
      <c r="E79" s="7">
        <f>1/F78</f>
        <v/>
      </c>
      <c r="F79" s="7" t="n">
        <v>1</v>
      </c>
      <c r="G79" s="7">
        <f>PRODUCT(C79:F79)^(1/4)</f>
        <v/>
      </c>
      <c r="H79" s="7">
        <f>G79/SUM($G$76:$G$79)</f>
        <v/>
      </c>
    </row>
    <row r="80">
      <c r="B80" t="inlineStr">
        <is>
          <t>Сумма столбца</t>
        </is>
      </c>
      <c r="C80" s="7">
        <f>SUM(C76:C79)</f>
        <v/>
      </c>
      <c r="D80" s="7">
        <f>SUM(D76:D79)</f>
        <v/>
      </c>
      <c r="E80" s="7">
        <f>SUM(E76:E79)</f>
        <v/>
      </c>
      <c r="F80" s="7">
        <f>SUM(F76:F79)</f>
        <v/>
      </c>
    </row>
    <row r="81">
      <c r="B81" t="inlineStr">
        <is>
          <t>λmax</t>
        </is>
      </c>
      <c r="C81" s="7">
        <f>C80*H76+D80*H77+E80*H78+F80*H79</f>
        <v/>
      </c>
    </row>
    <row r="82">
      <c r="B82" t="inlineStr">
        <is>
          <t>ИС = (λmax−n)/(n−1)</t>
        </is>
      </c>
      <c r="C82" s="7">
        <f>(C81-4)/(4-1)</f>
        <v/>
      </c>
    </row>
    <row r="83">
      <c r="B83" t="inlineStr">
        <is>
          <t>ОС = ИС / СИ (СИ = 0,90)</t>
        </is>
      </c>
      <c r="C83" s="7">
        <f>C82/0.9</f>
        <v/>
      </c>
      <c r="D83" s="8">
        <f>IF(C83&lt;=0.1,"согласовано","пересмотреть")</f>
        <v/>
      </c>
    </row>
    <row r="88">
      <c r="A88" s="2" t="inlineStr">
        <is>
          <t>Синтез: глобальные приоритеты</t>
        </is>
      </c>
    </row>
    <row r="89">
      <c r="B89" s="3" t="inlineStr">
        <is>
          <t>Концепция</t>
        </is>
      </c>
      <c r="C89" s="3">
        <f>"C1 (w="&amp;ROUND($I$6,3)&amp;")"</f>
        <v/>
      </c>
      <c r="D89" s="3">
        <f>"C2 (w="&amp;ROUND($I$7,3)&amp;")"</f>
        <v/>
      </c>
      <c r="E89" s="3">
        <f>"C3 (w="&amp;ROUND($I$8,3)&amp;")"</f>
        <v/>
      </c>
      <c r="F89" s="3">
        <f>"C4 (w="&amp;ROUND($I$9,3)&amp;")"</f>
        <v/>
      </c>
      <c r="G89" s="3">
        <f>"C5 (w="&amp;ROUND($I$10,3)&amp;")"</f>
        <v/>
      </c>
      <c r="H89" s="3" t="inlineStr">
        <is>
          <t>Глобальный приоритет</t>
        </is>
      </c>
      <c r="I89" s="3" t="inlineStr">
        <is>
          <t>Ранг</t>
        </is>
      </c>
    </row>
    <row r="90">
      <c r="A90" t="inlineStr">
        <is>
          <t>A1</t>
        </is>
      </c>
      <c r="B90" s="4">
        <f>Концепции!$B$4</f>
        <v/>
      </c>
      <c r="C90" s="7">
        <f>H20</f>
        <v/>
      </c>
      <c r="D90" s="7">
        <f>H34</f>
        <v/>
      </c>
      <c r="E90" s="7">
        <f>H48</f>
        <v/>
      </c>
      <c r="F90" s="7">
        <f>H62</f>
        <v/>
      </c>
      <c r="G90" s="7">
        <f>H76</f>
        <v/>
      </c>
      <c r="H90" s="9">
        <f>C90*$I$6+D90*$I$7+E90*$I$8+F90*$I$9+G90*$I$10</f>
        <v/>
      </c>
      <c r="I90" s="10">
        <f>RANK(H90,$H$90:$H$93)</f>
        <v/>
      </c>
    </row>
    <row r="91">
      <c r="A91" t="inlineStr">
        <is>
          <t>A2</t>
        </is>
      </c>
      <c r="B91" s="4">
        <f>Концепции!$B$5</f>
        <v/>
      </c>
      <c r="C91" s="7">
        <f>H21</f>
        <v/>
      </c>
      <c r="D91" s="7">
        <f>H35</f>
        <v/>
      </c>
      <c r="E91" s="7">
        <f>H49</f>
        <v/>
      </c>
      <c r="F91" s="7">
        <f>H63</f>
        <v/>
      </c>
      <c r="G91" s="7">
        <f>H77</f>
        <v/>
      </c>
      <c r="H91" s="9">
        <f>C91*$I$6+D91*$I$7+E91*$I$8+F91*$I$9+G91*$I$10</f>
        <v/>
      </c>
      <c r="I91" s="10">
        <f>RANK(H91,$H$90:$H$93)</f>
        <v/>
      </c>
    </row>
    <row r="92">
      <c r="A92" t="inlineStr">
        <is>
          <t>A3</t>
        </is>
      </c>
      <c r="B92" s="4">
        <f>Концепции!$B$6</f>
        <v/>
      </c>
      <c r="C92" s="7">
        <f>H22</f>
        <v/>
      </c>
      <c r="D92" s="7">
        <f>H36</f>
        <v/>
      </c>
      <c r="E92" s="7">
        <f>H50</f>
        <v/>
      </c>
      <c r="F92" s="7">
        <f>H64</f>
        <v/>
      </c>
      <c r="G92" s="7">
        <f>H78</f>
        <v/>
      </c>
      <c r="H92" s="9">
        <f>C92*$I$6+D92*$I$7+E92*$I$8+F92*$I$9+G92*$I$10</f>
        <v/>
      </c>
      <c r="I92" s="10">
        <f>RANK(H92,$H$90:$H$93)</f>
        <v/>
      </c>
    </row>
    <row r="93">
      <c r="A93" t="inlineStr">
        <is>
          <t>A4</t>
        </is>
      </c>
      <c r="B93" s="4">
        <f>Концепции!$B$7</f>
        <v/>
      </c>
      <c r="C93" s="7">
        <f>H23</f>
        <v/>
      </c>
      <c r="D93" s="7">
        <f>H37</f>
        <v/>
      </c>
      <c r="E93" s="7">
        <f>H51</f>
        <v/>
      </c>
      <c r="F93" s="7">
        <f>H65</f>
        <v/>
      </c>
      <c r="G93" s="7">
        <f>H79</f>
        <v/>
      </c>
      <c r="H93" s="9">
        <f>C93*$I$6+D93*$I$7+E93*$I$8+F93*$I$9+G93*$I$10</f>
        <v/>
      </c>
      <c r="I93" s="10">
        <f>RANK(H93,$H$90:$H$93)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Итог фазы 1</t>
        </is>
      </c>
    </row>
    <row r="3">
      <c r="A3" s="3" t="inlineStr">
        <is>
          <t>Код</t>
        </is>
      </c>
      <c r="B3" s="3" t="inlineStr">
        <is>
          <t>Концепция</t>
        </is>
      </c>
      <c r="C3" s="3" t="inlineStr">
        <is>
          <t>TOPSIS: CC</t>
        </is>
      </c>
      <c r="D3" s="3" t="inlineStr">
        <is>
          <t>TOPSIS: ранг</t>
        </is>
      </c>
      <c r="E3" s="3" t="inlineStr">
        <is>
          <t>МАИ: приоритет</t>
        </is>
      </c>
      <c r="F3" s="3" t="inlineStr">
        <is>
          <t>МАИ: ранг</t>
        </is>
      </c>
      <c r="G3" s="3" t="inlineStr">
        <is>
          <t>Сумма рангов</t>
        </is>
      </c>
    </row>
    <row r="4">
      <c r="A4" s="4" t="inlineStr">
        <is>
          <t>A1</t>
        </is>
      </c>
      <c r="B4" s="4">
        <f>Концепции!$B$4</f>
        <v/>
      </c>
      <c r="C4" s="9">
        <f>IFERROR(TOPSIS!O35,"нет данных")</f>
        <v/>
      </c>
      <c r="D4" s="10">
        <f>IFERROR(TOPSIS!P35,"")</f>
        <v/>
      </c>
      <c r="E4" s="9">
        <f>IFERROR(МАИ!H90,"нет данных")</f>
        <v/>
      </c>
      <c r="F4" s="10">
        <f>IFERROR(МАИ!I90,"")</f>
        <v/>
      </c>
      <c r="G4" s="10">
        <f>IFERROR(D4+F4,"")</f>
        <v/>
      </c>
    </row>
    <row r="5">
      <c r="A5" s="4" t="inlineStr">
        <is>
          <t>A2</t>
        </is>
      </c>
      <c r="B5" s="4">
        <f>Концепции!$B$5</f>
        <v/>
      </c>
      <c r="C5" s="9">
        <f>IFERROR(TOPSIS!O36,"нет данных")</f>
        <v/>
      </c>
      <c r="D5" s="10">
        <f>IFERROR(TOPSIS!P36,"")</f>
        <v/>
      </c>
      <c r="E5" s="9">
        <f>IFERROR(МАИ!H91,"нет данных")</f>
        <v/>
      </c>
      <c r="F5" s="10">
        <f>IFERROR(МАИ!I91,"")</f>
        <v/>
      </c>
      <c r="G5" s="10">
        <f>IFERROR(D5+F5,"")</f>
        <v/>
      </c>
    </row>
    <row r="6">
      <c r="A6" s="4" t="inlineStr">
        <is>
          <t>A3</t>
        </is>
      </c>
      <c r="B6" s="4">
        <f>Концепции!$B$6</f>
        <v/>
      </c>
      <c r="C6" s="9">
        <f>IFERROR(TOPSIS!O37,"нет данных")</f>
        <v/>
      </c>
      <c r="D6" s="10">
        <f>IFERROR(TOPSIS!P37,"")</f>
        <v/>
      </c>
      <c r="E6" s="9">
        <f>IFERROR(МАИ!H92,"нет данных")</f>
        <v/>
      </c>
      <c r="F6" s="10">
        <f>IFERROR(МАИ!I92,"")</f>
        <v/>
      </c>
      <c r="G6" s="10">
        <f>IFERROR(D6+F6,"")</f>
        <v/>
      </c>
    </row>
    <row r="7">
      <c r="A7" s="4" t="inlineStr">
        <is>
          <t>A4</t>
        </is>
      </c>
      <c r="B7" s="4">
        <f>Концепции!$B$7</f>
        <v/>
      </c>
      <c r="C7" s="9">
        <f>IFERROR(TOPSIS!O38,"нет данных")</f>
        <v/>
      </c>
      <c r="D7" s="10">
        <f>IFERROR(TOPSIS!P38,"")</f>
        <v/>
      </c>
      <c r="E7" s="9">
        <f>IFERROR(МАИ!H93,"нет данных")</f>
        <v/>
      </c>
      <c r="F7" s="10">
        <f>IFERROR(МАИ!I93,"")</f>
        <v/>
      </c>
      <c r="G7" s="10">
        <f>IFERROR(D7+F7,"")</f>
        <v/>
      </c>
    </row>
    <row r="10">
      <c r="B10" t="inlineStr">
        <is>
          <t>Лучшая по TOPSIS</t>
        </is>
      </c>
      <c r="C10">
        <f>IFERROR(INDEX($B$4:$B$7,MATCH(MAX($C$4:$C$7),$C$4:$C$7,0)),"нет данных")</f>
        <v/>
      </c>
    </row>
    <row r="11">
      <c r="B11" t="inlineStr">
        <is>
          <t>Лучшая по МАИ</t>
        </is>
      </c>
      <c r="C11">
        <f>IFERROR(INDEX($B$4:$B$7,MATCH(MAX($E$4:$E$7),$E$4:$E$7,0)),"нет данных")</f>
        <v/>
      </c>
    </row>
    <row r="12">
      <c r="B12" t="inlineStr">
        <is>
          <t>Методы согласны?</t>
        </is>
      </c>
      <c r="C12">
        <f>IF(C10=C11,"да, выбрана "&amp;C10,"нет, нужно обсуждение")</f>
        <v/>
      </c>
    </row>
    <row r="14">
      <c r="B14" s="2" t="inlineStr">
        <is>
          <t>Согласованность коллективных матриц МАИ (ОС)</t>
        </is>
      </c>
    </row>
    <row r="15">
      <c r="B15" t="inlineStr">
        <is>
          <t>Критерии: парные сравнения важности</t>
        </is>
      </c>
      <c r="C15" s="7">
        <f>IFERROR(МАИ!C14,"нет данных")</f>
        <v/>
      </c>
    </row>
    <row r="16">
      <c r="B16" t="inlineStr">
        <is>
          <t>Концепции по критерию C1</t>
        </is>
      </c>
      <c r="C16" s="7">
        <f>IFERROR(МАИ!C27,"нет данных")</f>
        <v/>
      </c>
    </row>
    <row r="17">
      <c r="B17" t="inlineStr">
        <is>
          <t>Концепции по критерию C2</t>
        </is>
      </c>
      <c r="C17" s="7">
        <f>IFERROR(МАИ!C41,"нет данных")</f>
        <v/>
      </c>
    </row>
    <row r="18">
      <c r="B18" t="inlineStr">
        <is>
          <t>Концепции по критерию C3</t>
        </is>
      </c>
      <c r="C18" s="7">
        <f>IFERROR(МАИ!C55,"нет данных")</f>
        <v/>
      </c>
    </row>
    <row r="19">
      <c r="B19" t="inlineStr">
        <is>
          <t>Концепции по критерию C4</t>
        </is>
      </c>
      <c r="C19" s="7">
        <f>IFERROR(МАИ!C69,"нет данных")</f>
        <v/>
      </c>
    </row>
    <row r="20">
      <c r="B20" t="inlineStr">
        <is>
          <t>Концепции по критерию C5</t>
        </is>
      </c>
      <c r="C20" s="7">
        <f>IFERROR(МАИ!C83,"нет данных")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2026-09-29T10:01:43Z</dcterms:created>
  <dcterms:modified xmlns:dcterms="http://purl.org/dc/terms/" xmlns:xsi="http://www.w3.org/2001/XMLSchema-instance" xsi:type="dcterms:W3CDTF">2026-09-29T10:01:44Z</dcterms:modified>
</cp:coreProperties>
</file>